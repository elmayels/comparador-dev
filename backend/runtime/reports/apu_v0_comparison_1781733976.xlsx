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Analisis 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0000FF"/>
    </font>
    <font>
      <b val="1"/>
      <color rgb="00FF0000"/>
    </font>
    <font>
      <color rgb="000000FF"/>
    </font>
    <font>
      <b val="1"/>
      <sz val="14"/>
    </font>
  </fonts>
  <fills count="3">
    <fill>
      <patternFill/>
    </fill>
    <fill>
      <patternFill patternType="gray125"/>
    </fill>
    <fill>
      <patternFill patternType="solid"/>
    </fill>
  </fills>
  <borders count="4">
    <border>
      <left/>
      <right/>
      <top/>
      <bottom/>
      <diagonal/>
    </border>
    <border>
      <bottom style="thin">
        <color rgb="00008000"/>
      </bottom>
    </border>
    <border>
      <bottom style="thin">
        <color rgb="0000B050"/>
      </bottom>
    </border>
    <border>
      <top style="thin">
        <color rgb="00008000"/>
      </top>
      <bottom style="thin">
        <color rgb="00008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vertical="center" wrapText="1"/>
    </xf>
    <xf numFmtId="164" fontId="3" fillId="2" borderId="3" applyAlignment="1" pivotButton="0" quotePrefix="0" xfId="0">
      <alignment vertical="center" wrapText="1"/>
    </xf>
    <xf numFmtId="10" fontId="3" fillId="2" borderId="3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164" fontId="1" fillId="2" borderId="3" applyAlignment="1" pivotButton="0" quotePrefix="0" xfId="0">
      <alignment vertical="center" wrapText="1"/>
    </xf>
    <xf numFmtId="10" fontId="1" fillId="2" borderId="3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4" customWidth="1" min="9" max="9"/>
    <col width="16" customWidth="1" min="10" max="10"/>
    <col width="12" customWidth="1" min="11" max="11"/>
    <col width="16" customWidth="1" min="12" max="12"/>
    <col width="16" customWidth="1" min="13" max="13"/>
  </cols>
  <sheetData>
    <row r="1">
      <c r="A1" s="1" t="inlineStr">
        <is>
          <t>Servicios / Cotización</t>
        </is>
      </c>
      <c r="E1" s="1" t="inlineStr">
        <is>
          <t>Matrices Pu FLEXIBILIDAD TQ 41 Y 42</t>
        </is>
      </c>
    </row>
    <row r="2">
      <c r="A2" s="2" t="inlineStr">
        <is>
          <t>Partida</t>
        </is>
      </c>
      <c r="B2" s="2" t="inlineStr">
        <is>
          <t>Descripción</t>
        </is>
      </c>
      <c r="C2" s="2" t="inlineStr">
        <is>
          <t>Unidad</t>
        </is>
      </c>
      <c r="D2" s="2" t="inlineStr">
        <is>
          <t>Cantidad</t>
        </is>
      </c>
      <c r="E2" s="2" t="inlineStr">
        <is>
          <t>P.U.</t>
        </is>
      </c>
      <c r="F2" s="2" t="inlineStr">
        <is>
          <t>Importe</t>
        </is>
      </c>
      <c r="G2" s="2" t="inlineStr">
        <is>
          <t>% Part.</t>
        </is>
      </c>
      <c r="H2" s="2" t="inlineStr">
        <is>
          <t>% ajuste</t>
        </is>
      </c>
      <c r="I2" s="2" t="inlineStr">
        <is>
          <t>Mercado P.U.</t>
        </is>
      </c>
      <c r="J2" s="2" t="inlineStr">
        <is>
          <t>Mercado Importe</t>
        </is>
      </c>
    </row>
    <row r="3" ht="40" customHeight="1">
      <c r="A3" s="3" t="inlineStr">
        <is>
          <t>FLEX41.11</t>
        </is>
      </c>
      <c r="B3" s="3" t="inlineStr">
        <is>
          <t>Instalación de bomba centrifuga Fristam, modelo FPR 3531-155 con motor de 2HP para transferencia de producto a placa. Incluye materiales, mano de obra, herramientas, equipos y todo lo necesario para su correcta instalación.</t>
        </is>
      </c>
      <c r="C3" s="3" t="inlineStr">
        <is>
          <t>PZA</t>
        </is>
      </c>
      <c r="D3" s="3" t="n">
        <v>1</v>
      </c>
      <c r="E3" s="4" t="n">
        <v>31524.55</v>
      </c>
      <c r="F3" s="4" t="n">
        <v>31524.55</v>
      </c>
      <c r="G3" s="5" t="n">
        <v>0.028268</v>
      </c>
      <c r="H3" s="5" t="n">
        <v>4.236288</v>
      </c>
      <c r="I3" s="4" t="n">
        <v>6020.4</v>
      </c>
      <c r="J3" s="4" t="n">
        <v>6020.4</v>
      </c>
    </row>
    <row r="4" ht="40" customHeight="1">
      <c r="A4" s="3" t="inlineStr">
        <is>
          <t>FLEX41.12</t>
        </is>
      </c>
      <c r="B4" s="3" t="inlineStr">
        <is>
          <t>Suministro e instalación de guarda protectora para bomba centrifuga en acero inoxidable 304. Incluye materiales, mano de obra, herramientas, equipos y limpieza final.</t>
        </is>
      </c>
      <c r="C4" s="3" t="inlineStr">
        <is>
          <t>PZA</t>
        </is>
      </c>
      <c r="D4" s="3" t="n">
        <v>1</v>
      </c>
      <c r="E4" s="4" t="n">
        <v>24937.16</v>
      </c>
      <c r="F4" s="4" t="n">
        <v>24937.16</v>
      </c>
      <c r="G4" s="5" t="n">
        <v>0.022361</v>
      </c>
      <c r="H4" s="5" t="n">
        <v>3.14211</v>
      </c>
      <c r="I4" s="4" t="n">
        <v>6020.4</v>
      </c>
      <c r="J4" s="4" t="n">
        <v>6020.4</v>
      </c>
    </row>
    <row r="5" ht="40" customHeight="1">
      <c r="A5" s="3" t="inlineStr">
        <is>
          <t>FLEX41.29</t>
        </is>
      </c>
      <c r="B5" s="3" t="inlineStr">
        <is>
          <t>Suministro e instalación de tubería sanitaria de acero inoxidable 316L 3 pulgadas. Incluye soportes, cortes, pulidos y limpieza del área de trabajo.</t>
        </is>
      </c>
      <c r="C5" s="3" t="inlineStr">
        <is>
          <t>M</t>
        </is>
      </c>
      <c r="D5" s="3" t="n">
        <v>41</v>
      </c>
      <c r="E5" s="4" t="n">
        <v>3496.73</v>
      </c>
      <c r="F5" s="4" t="n">
        <v>143365.93</v>
      </c>
      <c r="G5" s="5" t="n">
        <v>0.128557</v>
      </c>
      <c r="H5" s="5" t="n">
        <v>-0.419186</v>
      </c>
      <c r="I5" s="4" t="n">
        <v>6020.4</v>
      </c>
      <c r="J5" s="4" t="n">
        <v>246836.4</v>
      </c>
    </row>
    <row r="6" ht="40" customHeight="1">
      <c r="A6" s="3" t="inlineStr">
        <is>
          <t>FLEX41.40</t>
        </is>
      </c>
      <c r="B6" s="3" t="inlineStr">
        <is>
          <t>Suministro e instalación de tubería sanitaria de acero inoxidable 316L 2-1/2 pulgadas. Incluye materiales, mano de obra y equipos.</t>
        </is>
      </c>
      <c r="C6" s="3" t="inlineStr">
        <is>
          <t>M</t>
        </is>
      </c>
      <c r="D6" s="3" t="n">
        <v>38</v>
      </c>
      <c r="E6" s="4" t="n">
        <v>3496.73</v>
      </c>
      <c r="F6" s="4" t="n">
        <v>132875.74</v>
      </c>
      <c r="G6" s="5" t="n">
        <v>0.11915</v>
      </c>
      <c r="H6" s="5" t="n">
        <v>-0.419186</v>
      </c>
      <c r="I6" s="4" t="n">
        <v>6020.4</v>
      </c>
      <c r="J6" s="4" t="n">
        <v>228775.2</v>
      </c>
    </row>
    <row r="7" ht="40" customHeight="1">
      <c r="A7" s="3" t="inlineStr">
        <is>
          <t>FLEX41.62</t>
        </is>
      </c>
      <c r="B7" s="3" t="inlineStr">
        <is>
          <t>Servicio de control de aseguramiento de calidad a través de ensayo de boroscopia en tuberías de acero inoxidable.</t>
        </is>
      </c>
      <c r="C7" s="3" t="inlineStr">
        <is>
          <t>SERVICIO</t>
        </is>
      </c>
      <c r="D7" s="3" t="n">
        <v>1</v>
      </c>
      <c r="E7" s="4" t="n">
        <v>75226.36</v>
      </c>
      <c r="F7" s="4" t="n">
        <v>75226.36</v>
      </c>
      <c r="G7" s="5" t="n">
        <v>0.067456</v>
      </c>
      <c r="H7" s="5" t="n">
        <v>11.495093</v>
      </c>
      <c r="I7" s="4" t="n">
        <v>6020.4</v>
      </c>
      <c r="J7" s="4" t="n">
        <v>6020.4</v>
      </c>
    </row>
    <row r="8">
      <c r="A8" s="6" t="inlineStr">
        <is>
          <t>TOTAL</t>
        </is>
      </c>
      <c r="B8" s="6" t="n"/>
      <c r="C8" s="6" t="n"/>
      <c r="D8" s="6" t="n"/>
      <c r="E8" s="7">
        <f>AVERAGE(E3:E7)</f>
        <v/>
      </c>
      <c r="F8" s="7">
        <f>SUM(F3:F7)</f>
        <v/>
      </c>
      <c r="G8" s="6" t="n"/>
      <c r="H8" s="6" t="n"/>
      <c r="I8" s="7">
        <f>AVERAGE(I3:I7)</f>
        <v/>
      </c>
      <c r="J8" s="7">
        <f>SUM(J3:J7)</f>
        <v/>
      </c>
    </row>
    <row r="10">
      <c r="A10" s="6" t="inlineStr">
        <is>
          <t>Resumen individual por contratista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inlineStr">
        <is>
          <t>Matrices Pu FLEXIBILIDAD TQ 41 Y 42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3" t="inlineStr">
        <is>
          <t>• Las partidas sombreadas en azul concentran el mayor impacto económico del contratista.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inlineStr">
        <is>
          <t>• El total cotizado se compara contra mercado calculado usando los precios base de materiales, mano de obra y maquinaria desde data.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inlineStr">
        <is>
          <t>• Las partidas con mayor desviación deben revisarse contra alcance, exclusiones y suficiencia técnica.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inlineStr">
        <is>
          <t>• Esta hoja replica la lógica histórica del tab Comparativa: partida, precio ofertado, importe, participación, ajuste y mercado.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</sheetData>
  <mergeCells count="8">
    <mergeCell ref="A1:D1"/>
    <mergeCell ref="E1:J1"/>
    <mergeCell ref="A14:J14"/>
    <mergeCell ref="A12:J12"/>
    <mergeCell ref="A15:J15"/>
    <mergeCell ref="A10:J10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2" customWidth="1" min="8" max="8"/>
    <col width="4" customWidth="1" min="9" max="9"/>
    <col width="16" customWidth="1" min="10" max="10"/>
    <col width="12" customWidth="1" min="11" max="11"/>
    <col width="16" customWidth="1" min="12" max="12"/>
    <col width="16" customWidth="1" min="13" max="13"/>
  </cols>
  <sheetData>
    <row r="1">
      <c r="A1" s="2" t="inlineStr">
        <is>
          <t>Código</t>
        </is>
      </c>
      <c r="B1" s="2" t="inlineStr">
        <is>
          <t>Concepto</t>
        </is>
      </c>
      <c r="C1" s="2" t="inlineStr">
        <is>
          <t>Unidad</t>
        </is>
      </c>
      <c r="D1" s="2" t="inlineStr">
        <is>
          <t>P. Unitario</t>
        </is>
      </c>
      <c r="E1" s="2" t="inlineStr">
        <is>
          <t>Op.</t>
        </is>
      </c>
      <c r="F1" s="2" t="inlineStr">
        <is>
          <t>Cantidad</t>
        </is>
      </c>
      <c r="G1" s="2" t="inlineStr">
        <is>
          <t>Importe</t>
        </is>
      </c>
      <c r="H1" s="2" t="inlineStr">
        <is>
          <t>%</t>
        </is>
      </c>
      <c r="I1" s="2" t="inlineStr"/>
      <c r="J1" s="2" t="inlineStr">
        <is>
          <t>Mercado P. Unitario</t>
        </is>
      </c>
      <c r="K1" s="2" t="inlineStr">
        <is>
          <t>Mercado Op.</t>
        </is>
      </c>
      <c r="L1" s="2" t="inlineStr">
        <is>
          <t>Mercado Cantidad</t>
        </is>
      </c>
      <c r="M1" s="2" t="inlineStr">
        <is>
          <t>Mercado Importe</t>
        </is>
      </c>
    </row>
    <row r="2" ht="48" customHeight="1">
      <c r="A2" s="3" t="inlineStr">
        <is>
          <t>FLEX41.11</t>
        </is>
      </c>
      <c r="B2" s="3" t="inlineStr">
        <is>
          <t>Instalación de bomba centrifuga Fristam, modelo FPR 3531-155 con motor de 2HP para transferencia de producto a placa. Incluye materiales, mano de obra, herramientas y equipos.</t>
        </is>
      </c>
      <c r="C2" s="3" t="inlineStr">
        <is>
          <t>PZA</t>
        </is>
      </c>
      <c r="D2" s="4" t="n">
        <v>31524.55</v>
      </c>
      <c r="E2" s="3" t="n"/>
      <c r="F2" s="3" t="n">
        <v>1</v>
      </c>
      <c r="G2" s="4" t="n">
        <v>31524.55</v>
      </c>
      <c r="H2" s="5" t="n">
        <v>0.028268</v>
      </c>
      <c r="I2" s="3" t="n"/>
      <c r="J2" s="4" t="n">
        <v>6020.4</v>
      </c>
      <c r="K2" s="3" t="inlineStr">
        <is>
          <t>*</t>
        </is>
      </c>
      <c r="L2" s="3" t="n">
        <v>1</v>
      </c>
      <c r="M2" s="4" t="n">
        <v>6020.4</v>
      </c>
    </row>
    <row r="3">
      <c r="A3" s="6" t="n"/>
      <c r="B3" s="6" t="inlineStr">
        <is>
          <t>MATERIALES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3" t="inlineStr">
        <is>
          <t>consu-mec</t>
        </is>
      </c>
      <c r="B4" s="3" t="inlineStr">
        <is>
          <t>Consumibles para corte y soldadura</t>
        </is>
      </c>
      <c r="C4" s="3" t="inlineStr">
        <is>
          <t>%</t>
        </is>
      </c>
      <c r="D4" s="4" t="n">
        <v>22453.38</v>
      </c>
      <c r="E4" s="3" t="inlineStr">
        <is>
          <t>*</t>
        </is>
      </c>
      <c r="F4" s="3" t="n">
        <v>0.08</v>
      </c>
      <c r="G4" s="4" t="n">
        <v>1796.27</v>
      </c>
      <c r="H4" s="5" t="n">
        <v>0.001611</v>
      </c>
      <c r="I4" s="3" t="n"/>
      <c r="J4" s="4" t="n">
        <v>22453.38</v>
      </c>
      <c r="K4" s="3" t="inlineStr">
        <is>
          <t>*</t>
        </is>
      </c>
      <c r="L4" s="3" t="n">
        <v>0.08</v>
      </c>
      <c r="M4" s="4" t="n">
        <v>1796.27</v>
      </c>
    </row>
    <row r="5">
      <c r="A5" s="6" t="n"/>
      <c r="B5" s="6" t="inlineStr">
        <is>
          <t>SUBTOTAL MATERIALES</t>
        </is>
      </c>
      <c r="C5" s="6" t="n"/>
      <c r="D5" s="7" t="n">
        <v>1796.27</v>
      </c>
      <c r="E5" s="6" t="n"/>
      <c r="F5" s="6" t="n"/>
      <c r="G5" s="7" t="n">
        <v>1796.27</v>
      </c>
      <c r="H5" s="8" t="n">
        <v>0.001611</v>
      </c>
      <c r="I5" s="6" t="n"/>
      <c r="J5" s="6" t="n"/>
      <c r="K5" s="6" t="n"/>
      <c r="L5" s="6" t="n"/>
      <c r="M5" s="6" t="n"/>
    </row>
    <row r="6">
      <c r="A6" s="6" t="n"/>
      <c r="B6" s="6" t="inlineStr">
        <is>
          <t>MANO DE OBRA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3" t="inlineStr">
        <is>
          <t>SUP-O</t>
        </is>
      </c>
      <c r="B7" s="3" t="inlineStr">
        <is>
          <t>Supervisor Obra</t>
        </is>
      </c>
      <c r="C7" s="3" t="inlineStr">
        <is>
          <t>JOR</t>
        </is>
      </c>
      <c r="D7" s="4" t="n">
        <v>2643.19</v>
      </c>
      <c r="E7" s="3" t="inlineStr">
        <is>
          <t>*</t>
        </is>
      </c>
      <c r="F7" s="3" t="n">
        <v>0.1</v>
      </c>
      <c r="G7" s="4" t="n">
        <v>264.32</v>
      </c>
      <c r="H7" s="5" t="n">
        <v>0.000237</v>
      </c>
      <c r="I7" s="3" t="n"/>
      <c r="J7" s="4" t="n">
        <v>1757.33</v>
      </c>
      <c r="K7" s="3" t="inlineStr">
        <is>
          <t>*</t>
        </is>
      </c>
      <c r="L7" s="3" t="n">
        <v>0.1</v>
      </c>
      <c r="M7" s="4" t="n">
        <v>175.73</v>
      </c>
    </row>
    <row r="8">
      <c r="A8" s="3" t="inlineStr">
        <is>
          <t>SUP-SEG</t>
        </is>
      </c>
      <c r="B8" s="3" t="inlineStr">
        <is>
          <t>Supervisor de Seguridad</t>
        </is>
      </c>
      <c r="C8" s="3" t="inlineStr">
        <is>
          <t>JOR</t>
        </is>
      </c>
      <c r="D8" s="4" t="n">
        <v>2287.73</v>
      </c>
      <c r="E8" s="3" t="inlineStr">
        <is>
          <t>*</t>
        </is>
      </c>
      <c r="F8" s="3" t="n">
        <v>0.333333</v>
      </c>
      <c r="G8" s="4" t="n">
        <v>762.58</v>
      </c>
      <c r="H8" s="5" t="n">
        <v>0.000684</v>
      </c>
      <c r="I8" s="3" t="n"/>
      <c r="J8" s="4" t="n">
        <v>1757.33</v>
      </c>
      <c r="K8" s="3" t="inlineStr">
        <is>
          <t>*</t>
        </is>
      </c>
      <c r="L8" s="3" t="n">
        <v>0.33</v>
      </c>
      <c r="M8" s="4" t="n">
        <v>579.92</v>
      </c>
    </row>
    <row r="9">
      <c r="A9" s="3" t="inlineStr">
        <is>
          <t>OF-SOL</t>
        </is>
      </c>
      <c r="B9" s="3" t="inlineStr">
        <is>
          <t>Oficial Soldador/argonero</t>
        </is>
      </c>
      <c r="C9" s="3" t="inlineStr">
        <is>
          <t>JOR</t>
        </is>
      </c>
      <c r="D9" s="4" t="n">
        <v>2120.45</v>
      </c>
      <c r="E9" s="3" t="inlineStr">
        <is>
          <t>*</t>
        </is>
      </c>
      <c r="F9" s="3" t="n">
        <v>1</v>
      </c>
      <c r="G9" s="4" t="n">
        <v>2120.45</v>
      </c>
      <c r="H9" s="5" t="n">
        <v>0.001901</v>
      </c>
      <c r="I9" s="3" t="n"/>
      <c r="J9" s="4" t="n">
        <v>1326.14</v>
      </c>
      <c r="K9" s="3" t="inlineStr">
        <is>
          <t>*</t>
        </is>
      </c>
      <c r="L9" s="3" t="n">
        <v>1</v>
      </c>
      <c r="M9" s="4" t="n">
        <v>1326.14</v>
      </c>
    </row>
    <row r="10">
      <c r="A10" s="3" t="inlineStr">
        <is>
          <t>OF-TUB</t>
        </is>
      </c>
      <c r="B10" s="3" t="inlineStr">
        <is>
          <t>Oficial Tubero</t>
        </is>
      </c>
      <c r="C10" s="3" t="inlineStr">
        <is>
          <t>JOR</t>
        </is>
      </c>
      <c r="D10" s="4" t="n">
        <v>2120.45</v>
      </c>
      <c r="E10" s="3" t="inlineStr">
        <is>
          <t>*</t>
        </is>
      </c>
      <c r="F10" s="3" t="n">
        <v>1</v>
      </c>
      <c r="G10" s="4" t="n">
        <v>2120.45</v>
      </c>
      <c r="H10" s="5" t="n">
        <v>0.001901</v>
      </c>
      <c r="I10" s="3" t="n"/>
      <c r="J10" s="4" t="n">
        <v>1221.95</v>
      </c>
      <c r="K10" s="3" t="inlineStr">
        <is>
          <t>*</t>
        </is>
      </c>
      <c r="L10" s="3" t="n">
        <v>1</v>
      </c>
      <c r="M10" s="4" t="n">
        <v>1221.95</v>
      </c>
    </row>
    <row r="11">
      <c r="A11" s="3" t="inlineStr">
        <is>
          <t>AYU-GRAL</t>
        </is>
      </c>
      <c r="B11" s="3" t="inlineStr">
        <is>
          <t>Ayudante General</t>
        </is>
      </c>
      <c r="C11" s="3" t="inlineStr">
        <is>
          <t>JOR</t>
        </is>
      </c>
      <c r="D11" s="4" t="n">
        <v>1074.96</v>
      </c>
      <c r="E11" s="3" t="inlineStr">
        <is>
          <t>*</t>
        </is>
      </c>
      <c r="F11" s="3" t="n">
        <v>1</v>
      </c>
      <c r="G11" s="4" t="n">
        <v>1074.96</v>
      </c>
      <c r="H11" s="5" t="n">
        <v>0.000964</v>
      </c>
      <c r="I11" s="3" t="n"/>
      <c r="J11" s="4" t="n">
        <v>777.88</v>
      </c>
      <c r="K11" s="3" t="inlineStr">
        <is>
          <t>*</t>
        </is>
      </c>
      <c r="L11" s="3" t="n">
        <v>1</v>
      </c>
      <c r="M11" s="4" t="n">
        <v>777.88</v>
      </c>
    </row>
    <row r="12">
      <c r="A12" s="6" t="n"/>
      <c r="B12" s="6" t="inlineStr">
        <is>
          <t>SUBTOTAL MANO DE OBRA</t>
        </is>
      </c>
      <c r="C12" s="6" t="n"/>
      <c r="D12" s="7" t="n">
        <v>6342.76</v>
      </c>
      <c r="E12" s="6" t="n"/>
      <c r="F12" s="6" t="n"/>
      <c r="G12" s="7" t="n">
        <v>6342.76</v>
      </c>
      <c r="H12" s="8" t="n">
        <v>0.005688</v>
      </c>
      <c r="I12" s="6" t="n"/>
      <c r="J12" s="7" t="n">
        <v>4081.62</v>
      </c>
      <c r="K12" s="6" t="n"/>
      <c r="L12" s="6" t="n"/>
      <c r="M12" s="7" t="n">
        <v>4081.62</v>
      </c>
    </row>
    <row r="13">
      <c r="A13" s="6" t="n"/>
      <c r="B13" s="6" t="inlineStr">
        <is>
          <t>EQUIPO Y HERRAMIENTA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3" t="inlineStr">
        <is>
          <t>%HERR</t>
        </is>
      </c>
      <c r="B14" s="3" t="inlineStr">
        <is>
          <t>Herramienta Menor</t>
        </is>
      </c>
      <c r="C14" s="3" t="inlineStr">
        <is>
          <t>%</t>
        </is>
      </c>
      <c r="D14" s="4" t="n">
        <v>6342.76</v>
      </c>
      <c r="E14" s="3" t="inlineStr">
        <is>
          <t>%</t>
        </is>
      </c>
      <c r="F14" s="3" t="n">
        <v>0.09</v>
      </c>
      <c r="G14" s="4" t="n">
        <v>570.85</v>
      </c>
      <c r="H14" s="5" t="n">
        <v>0.000512</v>
      </c>
      <c r="I14" s="3" t="n"/>
      <c r="J14" s="4" t="n">
        <v>4081.62</v>
      </c>
      <c r="K14" s="3" t="inlineStr">
        <is>
          <t>%</t>
        </is>
      </c>
      <c r="L14" s="3" t="n">
        <v>0.09</v>
      </c>
      <c r="M14" s="4" t="n">
        <v>367.35</v>
      </c>
    </row>
    <row r="15">
      <c r="A15" s="3" t="inlineStr">
        <is>
          <t>%EPP</t>
        </is>
      </c>
      <c r="B15" s="3" t="inlineStr">
        <is>
          <t>Equipo de proteccion personal Basico</t>
        </is>
      </c>
      <c r="C15" s="3" t="inlineStr">
        <is>
          <t>%</t>
        </is>
      </c>
      <c r="D15" s="4" t="n">
        <v>6342.76</v>
      </c>
      <c r="E15" s="3" t="inlineStr">
        <is>
          <t>%</t>
        </is>
      </c>
      <c r="F15" s="3" t="n">
        <v>0.09</v>
      </c>
      <c r="G15" s="4" t="n">
        <v>570.85</v>
      </c>
      <c r="H15" s="5" t="n">
        <v>0.000512</v>
      </c>
      <c r="I15" s="3" t="n"/>
      <c r="J15" s="4" t="n">
        <v>4081.62</v>
      </c>
      <c r="K15" s="3" t="inlineStr">
        <is>
          <t>%</t>
        </is>
      </c>
      <c r="L15" s="3" t="n">
        <v>0.09</v>
      </c>
      <c r="M15" s="4" t="n">
        <v>367.35</v>
      </c>
    </row>
    <row r="16">
      <c r="A16" s="6" t="n"/>
      <c r="B16" s="6" t="inlineStr">
        <is>
          <t>SUBTOTAL EQUIPO Y HERRAMIENTA</t>
        </is>
      </c>
      <c r="C16" s="6" t="n"/>
      <c r="D16" s="7" t="n">
        <v>1141.7</v>
      </c>
      <c r="E16" s="6" t="n"/>
      <c r="F16" s="6" t="n"/>
      <c r="G16" s="7" t="n">
        <v>1141.7</v>
      </c>
      <c r="H16" s="8" t="n">
        <v>0.001024</v>
      </c>
      <c r="I16" s="6" t="n"/>
      <c r="J16" s="7" t="n">
        <v>734.7</v>
      </c>
      <c r="K16" s="6" t="n"/>
      <c r="L16" s="6" t="n"/>
      <c r="M16" s="7" t="n">
        <v>734.7</v>
      </c>
    </row>
    <row r="17">
      <c r="A17" s="6" t="n"/>
      <c r="B17" s="6" t="inlineStr">
        <is>
          <t>SECCION FINANCIERA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inlineStr">
        <is>
          <t>COSTO DIRECTO</t>
        </is>
      </c>
      <c r="C18" s="6" t="n"/>
      <c r="D18" s="7" t="n">
        <v>9280.73</v>
      </c>
      <c r="E18" s="6" t="n"/>
      <c r="F18" s="6" t="n"/>
      <c r="G18" s="7" t="n">
        <v>9280.73</v>
      </c>
      <c r="H18" s="8" t="n">
        <v>0.021745</v>
      </c>
      <c r="I18" s="6" t="n"/>
      <c r="J18" s="7" t="n">
        <v>4816.32</v>
      </c>
      <c r="K18" s="6" t="n"/>
      <c r="L18" s="6" t="n"/>
      <c r="M18" s="7" t="n">
        <v>4816.32</v>
      </c>
    </row>
    <row r="19">
      <c r="A19" s="6" t="n"/>
      <c r="B19" s="6" t="inlineStr">
        <is>
          <t>COSTO INDIRECTO</t>
        </is>
      </c>
      <c r="C19" s="6" t="n"/>
      <c r="D19" s="7" t="n">
        <v>7274.9</v>
      </c>
      <c r="E19" s="6" t="inlineStr">
        <is>
          <t>%</t>
        </is>
      </c>
      <c r="F19" s="6" t="n">
        <v>0.25</v>
      </c>
      <c r="G19" s="7" t="n">
        <v>7274.9</v>
      </c>
      <c r="H19" s="8" t="n">
        <v>0.25</v>
      </c>
      <c r="I19" s="6" t="n"/>
      <c r="J19" s="7" t="n">
        <v>4816.32</v>
      </c>
      <c r="K19" s="6" t="inlineStr">
        <is>
          <t>%</t>
        </is>
      </c>
      <c r="L19" s="6" t="n">
        <v>0.25</v>
      </c>
      <c r="M19" s="7" t="n">
        <v>1204.08</v>
      </c>
    </row>
    <row r="20">
      <c r="A20" s="6" t="n"/>
      <c r="B20" s="6" t="inlineStr">
        <is>
          <t>TOTAL COSTO UNITARIO</t>
        </is>
      </c>
      <c r="C20" s="6" t="n"/>
      <c r="D20" s="7" t="n">
        <v>31524.55</v>
      </c>
      <c r="E20" s="6" t="n"/>
      <c r="F20" s="6" t="n"/>
      <c r="G20" s="7" t="n">
        <v>31524.55</v>
      </c>
      <c r="H20" s="8" t="n">
        <v>0.028268</v>
      </c>
      <c r="I20" s="6" t="n"/>
      <c r="J20" s="7" t="n">
        <v>6020.4</v>
      </c>
      <c r="K20" s="6" t="n"/>
      <c r="L20" s="6" t="n"/>
      <c r="M20" s="7" t="n">
        <v>6020.4</v>
      </c>
    </row>
    <row r="21">
      <c r="A21" s="6" t="n"/>
      <c r="B21" s="6" t="inlineStr">
        <is>
          <t>TOTAL POR SERVICIO</t>
        </is>
      </c>
      <c r="C21" s="6" t="n"/>
      <c r="D21" s="7" t="n">
        <v>31524.55</v>
      </c>
      <c r="E21" s="6" t="n"/>
      <c r="F21" s="6" t="n">
        <v>1</v>
      </c>
      <c r="G21" s="7" t="n">
        <v>31524.55</v>
      </c>
      <c r="H21" s="8" t="n">
        <v>0.028268</v>
      </c>
      <c r="I21" s="6" t="n"/>
      <c r="J21" s="7" t="n">
        <v>6020.4</v>
      </c>
      <c r="K21" s="6" t="n"/>
      <c r="L21" s="6" t="n">
        <v>1</v>
      </c>
      <c r="M21" s="7" t="n">
        <v>6020.4</v>
      </c>
    </row>
    <row r="22" ht="8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 ht="48" customHeight="1">
      <c r="A23" s="3" t="inlineStr">
        <is>
          <t>FLEX41.12</t>
        </is>
      </c>
      <c r="B23" s="3" t="inlineStr">
        <is>
          <t>Suministro e instalación de guarda protectora para bomba centrifuga en acero inoxidable 304. Incluye materiales, mano de obra, herramientas, equipos y limpieza final.</t>
        </is>
      </c>
      <c r="C23" s="3" t="inlineStr">
        <is>
          <t>PZA</t>
        </is>
      </c>
      <c r="D23" s="4" t="n">
        <v>24937.16</v>
      </c>
      <c r="E23" s="3" t="n"/>
      <c r="F23" s="3" t="n">
        <v>1</v>
      </c>
      <c r="G23" s="4" t="n">
        <v>24937.16</v>
      </c>
      <c r="H23" s="5" t="n">
        <v>0.022361</v>
      </c>
      <c r="I23" s="3" t="n"/>
      <c r="J23" s="4" t="n">
        <v>6020.4</v>
      </c>
      <c r="K23" s="3" t="inlineStr">
        <is>
          <t>*</t>
        </is>
      </c>
      <c r="L23" s="3" t="n">
        <v>1</v>
      </c>
      <c r="M23" s="4" t="n">
        <v>6020.4</v>
      </c>
    </row>
    <row r="24">
      <c r="A24" s="6" t="n"/>
      <c r="B24" s="6" t="inlineStr">
        <is>
          <t>MATERIALES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3" t="inlineStr">
        <is>
          <t>flex4.16</t>
        </is>
      </c>
      <c r="B25" s="3" t="inlineStr">
        <is>
          <t>Lamina lisa en acero inoxidable calibre 20</t>
        </is>
      </c>
      <c r="C25" s="3" t="inlineStr">
        <is>
          <t>M2</t>
        </is>
      </c>
      <c r="D25" s="4" t="n">
        <v>3016</v>
      </c>
      <c r="E25" s="3" t="inlineStr">
        <is>
          <t>*</t>
        </is>
      </c>
      <c r="F25" s="3" t="n">
        <v>1</v>
      </c>
      <c r="G25" s="4" t="n">
        <v>3016</v>
      </c>
      <c r="H25" s="5" t="n">
        <v>0.002704</v>
      </c>
      <c r="I25" s="3" t="n"/>
      <c r="J25" s="4" t="n">
        <v>3016</v>
      </c>
      <c r="K25" s="3" t="inlineStr">
        <is>
          <t>*</t>
        </is>
      </c>
      <c r="L25" s="3" t="n">
        <v>1</v>
      </c>
      <c r="M25" s="4" t="n">
        <v>3016</v>
      </c>
    </row>
    <row r="26">
      <c r="A26" s="3" t="inlineStr">
        <is>
          <t>consu-mec</t>
        </is>
      </c>
      <c r="B26" s="3" t="inlineStr">
        <is>
          <t>Consumibles para corte y soldadura</t>
        </is>
      </c>
      <c r="C26" s="3" t="inlineStr">
        <is>
          <t>%</t>
        </is>
      </c>
      <c r="D26" s="4" t="n">
        <v>3016</v>
      </c>
      <c r="E26" s="3" t="inlineStr">
        <is>
          <t>%</t>
        </is>
      </c>
      <c r="F26" s="3" t="n">
        <v>0.08</v>
      </c>
      <c r="G26" s="4" t="n">
        <v>241.28</v>
      </c>
      <c r="H26" s="5" t="n">
        <v>0.001074</v>
      </c>
      <c r="I26" s="3" t="n"/>
      <c r="J26" s="4" t="n">
        <v>3016</v>
      </c>
      <c r="K26" s="3" t="inlineStr">
        <is>
          <t>%</t>
        </is>
      </c>
      <c r="L26" s="3" t="n">
        <v>0.08</v>
      </c>
      <c r="M26" s="4" t="n">
        <v>241.28</v>
      </c>
    </row>
    <row r="27">
      <c r="A27" s="6" t="n"/>
      <c r="B27" s="6" t="inlineStr">
        <is>
          <t>SUBTOTAL MATERIALES</t>
        </is>
      </c>
      <c r="C27" s="6" t="n"/>
      <c r="D27" s="7" t="n">
        <v>3257.28</v>
      </c>
      <c r="E27" s="6" t="n"/>
      <c r="F27" s="6" t="n"/>
      <c r="G27" s="7" t="n">
        <v>3257.28</v>
      </c>
      <c r="H27" s="8" t="n">
        <v>0.002921</v>
      </c>
      <c r="I27" s="6" t="n"/>
      <c r="J27" s="6" t="n"/>
      <c r="K27" s="6" t="n"/>
      <c r="L27" s="6" t="n"/>
      <c r="M2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Analisis IA</t>
        </is>
      </c>
    </row>
    <row r="3">
      <c r="A3" s="10" t="inlineStr">
        <is>
          <t>1. Veredicto general</t>
        </is>
      </c>
    </row>
    <row r="4">
      <c r="A4" s="10" t="inlineStr">
        <is>
          <t>La propuesta se evalúa contra mercado granular usando referencias de data para materiales, mano de obra y maquinaria.</t>
        </is>
      </c>
    </row>
    <row r="5">
      <c r="A5" s="10" t="inlineStr">
        <is>
          <t>2. Principales riesgos detectados</t>
        </is>
      </c>
    </row>
    <row r="6">
      <c r="A6" s="10" t="inlineStr">
        <is>
          <t>Validar partidas bajo mercado para descartar omisiones de alcance y revisar porcentajes financieros/indirectos.</t>
        </is>
      </c>
    </row>
    <row r="7">
      <c r="A7" s="10" t="inlineStr">
        <is>
          <t>3. Limitaciones</t>
        </is>
      </c>
    </row>
    <row r="8">
      <c r="A8" s="10" t="inlineStr">
        <is>
          <t>V0 usa datos mockeados; el motor real deberá leer la matriz/APU del contratista para poblar Detalle.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2026-06-17T22:06:15Z</dcterms:created>
  <dcterms:modified xmlns:dcterms="http://purl.org/dc/terms/" xmlns:xsi="http://www.w3.org/2001/XMLSchema-instance" xsi:type="dcterms:W3CDTF">2026-06-17T22:06:16Z</dcterms:modified>
</cp:coreProperties>
</file>