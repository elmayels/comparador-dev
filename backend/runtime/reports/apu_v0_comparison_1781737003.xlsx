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Analisis IA" sheetId="3" state="visible" r:id="rId3"/>
  </sheets>
  <definedNames>
    <definedName name="_xlnm._FilterDatabase" localSheetId="0" hidden="1">'Comparativa'!$A$4:$M$10</definedName>
    <definedName name="_xlnm._FilterDatabase" localSheetId="1" hidden="1">'Detalle'!$A$4:$N$21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11827"/>
      <sz val="16"/>
    </font>
    <font>
      <i val="1"/>
      <color rgb="0064748B"/>
    </font>
    <font>
      <b val="1"/>
      <color rgb="00111827"/>
    </font>
    <font>
      <color rgb="00111827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AF2FF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EEF6F3"/>
      </patternFill>
    </fill>
    <fill>
      <patternFill patternType="solid">
        <fgColor rgb="00FFF7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thin">
        <color rgb="00E5E7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vertical="center" wrapText="1"/>
    </xf>
    <xf numFmtId="10" fontId="4" fillId="3" borderId="2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10" fontId="3" fillId="4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164" fontId="3" fillId="6" borderId="1" applyAlignment="1" pivotButton="0" quotePrefix="0" xfId="0">
      <alignment vertical="center" wrapText="1"/>
    </xf>
    <xf numFmtId="1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164" fontId="3" fillId="7" borderId="1" applyAlignment="1" pivotButton="0" quotePrefix="0" xfId="0">
      <alignment vertical="center" wrapText="1"/>
    </xf>
    <xf numFmtId="1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164" fontId="3" fillId="8" borderId="1" applyAlignment="1" pivotButton="0" quotePrefix="0" xfId="0">
      <alignment vertical="center" wrapText="1"/>
    </xf>
    <xf numFmtId="10" fontId="3" fillId="8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8" customWidth="1" min="12" max="12"/>
    <col width="28" customWidth="1" min="13" max="13"/>
  </cols>
  <sheetData>
    <row r="1">
      <c r="A1" s="1" t="inlineStr">
        <is>
          <t>Comparativa económica</t>
        </is>
      </c>
    </row>
    <row r="2">
      <c r="A2" s="2" t="inlineStr">
        <is>
          <t>Estructura canónica V0: resumen por partida. Estilo limpio; datos mockeados hasta conectar el motor real.</t>
        </is>
      </c>
    </row>
    <row r="4">
      <c r="A4" s="3" t="inlineStr">
        <is>
          <t>Partida</t>
        </is>
      </c>
      <c r="B4" s="3" t="inlineStr">
        <is>
          <t>Descripción</t>
        </is>
      </c>
      <c r="C4" s="3" t="inlineStr">
        <is>
          <t>Unidad</t>
        </is>
      </c>
      <c r="D4" s="3" t="inlineStr">
        <is>
          <t>Cantidad</t>
        </is>
      </c>
      <c r="E4" s="3" t="inlineStr">
        <is>
          <t>P.U. ofertado</t>
        </is>
      </c>
      <c r="F4" s="3" t="inlineStr">
        <is>
          <t>Importe ofertado</t>
        </is>
      </c>
      <c r="G4" s="3" t="inlineStr">
        <is>
          <t>% participación</t>
        </is>
      </c>
      <c r="H4" s="3" t="inlineStr">
        <is>
          <t>% ajuste</t>
        </is>
      </c>
      <c r="I4" s="3" t="inlineStr">
        <is>
          <t>Mercado P.U.</t>
        </is>
      </c>
      <c r="J4" s="3" t="inlineStr">
        <is>
          <t>Mercado importe</t>
        </is>
      </c>
      <c r="K4" s="3" t="inlineStr">
        <is>
          <t>Dif. vs mercado</t>
        </is>
      </c>
      <c r="L4" s="3" t="inlineStr">
        <is>
          <t>Dif. %</t>
        </is>
      </c>
      <c r="M4" s="3" t="inlineStr">
        <is>
          <t>Estado</t>
        </is>
      </c>
    </row>
    <row r="5" ht="36" customHeight="1">
      <c r="A5" s="4" t="inlineStr">
        <is>
          <t>FLEX41.11</t>
        </is>
      </c>
      <c r="B5" s="4" t="inlineStr">
        <is>
          <t>Instalación de bomba centrifuga. Partida mock para validar layout.</t>
        </is>
      </c>
      <c r="C5" s="4" t="inlineStr">
        <is>
          <t>PZA</t>
        </is>
      </c>
      <c r="D5" s="4" t="n">
        <v>1</v>
      </c>
      <c r="E5" s="5" t="n">
        <v>31524.55</v>
      </c>
      <c r="F5" s="5">
        <f>D5*E5</f>
        <v/>
      </c>
      <c r="G5" s="6">
        <f>F5/$F$10</f>
        <v/>
      </c>
      <c r="H5" s="6">
        <f>(E5-I5)/I5</f>
        <v/>
      </c>
      <c r="I5" s="5" t="n">
        <v>6020.4</v>
      </c>
      <c r="J5" s="5">
        <f>D5*I5</f>
        <v/>
      </c>
      <c r="K5" s="5">
        <f>F5-J5</f>
        <v/>
      </c>
      <c r="L5" s="6">
        <f>K5/J5</f>
        <v/>
      </c>
      <c r="M5" s="4" t="inlineStr">
        <is>
          <t>Revisar</t>
        </is>
      </c>
    </row>
    <row r="6" ht="36" customHeight="1">
      <c r="A6" s="4" t="inlineStr">
        <is>
          <t>FLEX41.12</t>
        </is>
      </c>
      <c r="B6" s="4" t="inlineStr">
        <is>
          <t>Guarda protectora para bomba en acero inoxidable. Partida mock.</t>
        </is>
      </c>
      <c r="C6" s="4" t="inlineStr">
        <is>
          <t>PZA</t>
        </is>
      </c>
      <c r="D6" s="4" t="n">
        <v>1</v>
      </c>
      <c r="E6" s="5" t="n">
        <v>24937.16</v>
      </c>
      <c r="F6" s="5">
        <f>D6*E6</f>
        <v/>
      </c>
      <c r="G6" s="6">
        <f>F6/$F$10</f>
        <v/>
      </c>
      <c r="H6" s="6">
        <f>(E6-I6)/I6</f>
        <v/>
      </c>
      <c r="I6" s="5" t="n">
        <v>6020.4</v>
      </c>
      <c r="J6" s="5">
        <f>D6*I6</f>
        <v/>
      </c>
      <c r="K6" s="5">
        <f>F6-J6</f>
        <v/>
      </c>
      <c r="L6" s="6">
        <f>K6/J6</f>
        <v/>
      </c>
      <c r="M6" s="4" t="inlineStr">
        <is>
          <t>Revisar</t>
        </is>
      </c>
    </row>
    <row r="7" ht="36" customHeight="1">
      <c r="A7" s="4" t="inlineStr">
        <is>
          <t>FLEX41.29</t>
        </is>
      </c>
      <c r="B7" s="4" t="inlineStr">
        <is>
          <t>Tubería sanitaria acero inoxidable 316L 3 pulgadas. Partida mock.</t>
        </is>
      </c>
      <c r="C7" s="4" t="inlineStr">
        <is>
          <t>M</t>
        </is>
      </c>
      <c r="D7" s="4" t="n">
        <v>41</v>
      </c>
      <c r="E7" s="5" t="n">
        <v>3496.73</v>
      </c>
      <c r="F7" s="5">
        <f>D7*E7</f>
        <v/>
      </c>
      <c r="G7" s="6">
        <f>F7/$F$10</f>
        <v/>
      </c>
      <c r="H7" s="6">
        <f>(E7-I7)/I7</f>
        <v/>
      </c>
      <c r="I7" s="5" t="n">
        <v>6020.4</v>
      </c>
      <c r="J7" s="5">
        <f>D7*I7</f>
        <v/>
      </c>
      <c r="K7" s="5">
        <f>F7-J7</f>
        <v/>
      </c>
      <c r="L7" s="6">
        <f>K7/J7</f>
        <v/>
      </c>
      <c r="M7" s="4" t="inlineStr">
        <is>
          <t>Bajo mercado</t>
        </is>
      </c>
    </row>
    <row r="8" ht="36" customHeight="1">
      <c r="A8" s="4" t="inlineStr">
        <is>
          <t>FLEX41.40</t>
        </is>
      </c>
      <c r="B8" s="4" t="inlineStr">
        <is>
          <t>Tubería sanitaria acero inoxidable 316L 2 1/2 pulgadas. Partida mock.</t>
        </is>
      </c>
      <c r="C8" s="4" t="inlineStr">
        <is>
          <t>M</t>
        </is>
      </c>
      <c r="D8" s="4" t="n">
        <v>38</v>
      </c>
      <c r="E8" s="5" t="n">
        <v>3496.73</v>
      </c>
      <c r="F8" s="5">
        <f>D8*E8</f>
        <v/>
      </c>
      <c r="G8" s="6">
        <f>F8/$F$10</f>
        <v/>
      </c>
      <c r="H8" s="6">
        <f>(E8-I8)/I8</f>
        <v/>
      </c>
      <c r="I8" s="5" t="n">
        <v>6020.4</v>
      </c>
      <c r="J8" s="5">
        <f>D8*I8</f>
        <v/>
      </c>
      <c r="K8" s="5">
        <f>F8-J8</f>
        <v/>
      </c>
      <c r="L8" s="6">
        <f>K8/J8</f>
        <v/>
      </c>
      <c r="M8" s="4" t="inlineStr">
        <is>
          <t>Bajo mercado</t>
        </is>
      </c>
    </row>
    <row r="9" ht="36" customHeight="1">
      <c r="A9" s="4" t="inlineStr">
        <is>
          <t>FLEX41.62</t>
        </is>
      </c>
      <c r="B9" s="4" t="inlineStr">
        <is>
          <t>Ensayo de boroscopia en tuberías. Partida mock.</t>
        </is>
      </c>
      <c r="C9" s="4" t="inlineStr">
        <is>
          <t>SERV</t>
        </is>
      </c>
      <c r="D9" s="4" t="n">
        <v>1</v>
      </c>
      <c r="E9" s="5" t="n">
        <v>75226.36</v>
      </c>
      <c r="F9" s="5">
        <f>D9*E9</f>
        <v/>
      </c>
      <c r="G9" s="6">
        <f>F9/$F$10</f>
        <v/>
      </c>
      <c r="H9" s="6">
        <f>(E9-I9)/I9</f>
        <v/>
      </c>
      <c r="I9" s="5" t="n">
        <v>6020.4</v>
      </c>
      <c r="J9" s="5">
        <f>D9*I9</f>
        <v/>
      </c>
      <c r="K9" s="5">
        <f>F9-J9</f>
        <v/>
      </c>
      <c r="L9" s="6">
        <f>K9/J9</f>
        <v/>
      </c>
      <c r="M9" s="4" t="inlineStr">
        <is>
          <t>Sobrecosto</t>
        </is>
      </c>
    </row>
    <row r="10">
      <c r="A10" s="7" t="inlineStr">
        <is>
          <t>TOTAL</t>
        </is>
      </c>
      <c r="B10" s="7" t="n"/>
      <c r="C10" s="7" t="n"/>
      <c r="D10" s="7" t="n"/>
      <c r="E10" s="8" t="n"/>
      <c r="F10" s="8">
        <f>SUM(F5:F9)</f>
        <v/>
      </c>
      <c r="G10" s="9" t="n"/>
      <c r="H10" s="9" t="n"/>
      <c r="I10" s="8" t="n"/>
      <c r="J10" s="8">
        <f>SUM(J5:J9)</f>
        <v/>
      </c>
      <c r="K10" s="8">
        <f>F10-J10</f>
        <v/>
      </c>
      <c r="L10" s="9">
        <f>K10/J10</f>
        <v/>
      </c>
      <c r="M10" s="7" t="inlineStr">
        <is>
          <t>Resumen</t>
        </is>
      </c>
    </row>
    <row r="13">
      <c r="A13" s="10" t="inlineStr">
        <is>
          <t>Nota canónica</t>
        </is>
      </c>
    </row>
    <row r="14">
      <c r="A14" s="11" t="inlineStr">
        <is>
          <t>Esta hoja resume importes ofertados y mercado. El ejemplo histórico solo define estructura; no se copian estilos ni matriz literal.</t>
        </is>
      </c>
    </row>
  </sheetData>
  <autoFilter ref="A4:M10"/>
  <mergeCells count="3">
    <mergeCell ref="A2:M2"/>
    <mergeCell ref="A14:M1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4" customWidth="1" min="4" max="4"/>
    <col width="10" customWidth="1" min="5" max="5"/>
    <col width="12" customWidth="1" min="6" max="6"/>
    <col width="16" customWidth="1" min="7" max="7"/>
    <col width="12" customWidth="1" min="8" max="8"/>
    <col width="4" customWidth="1" min="9" max="9"/>
    <col width="16" customWidth="1" min="10" max="10"/>
    <col width="10" customWidth="1" min="11" max="11"/>
    <col width="14" customWidth="1" min="12" max="12"/>
    <col width="18" customWidth="1" min="13" max="13"/>
    <col width="28" customWidth="1" min="14" max="14"/>
  </cols>
  <sheetData>
    <row r="1">
      <c r="A1" s="1" t="inlineStr">
        <is>
          <t>Detalle APU por contratista</t>
        </is>
      </c>
    </row>
    <row r="2">
      <c r="A2" s="2" t="inlineStr">
        <is>
          <t>Estructura canónica V0: se genera desde la matriz/APU del contratista + referencias granulares de data.</t>
        </is>
      </c>
    </row>
    <row r="4">
      <c r="A4" s="12" t="inlineStr">
        <is>
          <t>Código</t>
        </is>
      </c>
      <c r="B4" s="12" t="inlineStr">
        <is>
          <t>Concepto / insumo</t>
        </is>
      </c>
      <c r="C4" s="12" t="inlineStr">
        <is>
          <t>Unidad</t>
        </is>
      </c>
      <c r="D4" s="12" t="inlineStr">
        <is>
          <t>P. Unitario</t>
        </is>
      </c>
      <c r="E4" s="12" t="inlineStr">
        <is>
          <t>Op.</t>
        </is>
      </c>
      <c r="F4" s="12" t="inlineStr">
        <is>
          <t>Cantidad</t>
        </is>
      </c>
      <c r="G4" s="12" t="inlineStr">
        <is>
          <t>Importe</t>
        </is>
      </c>
      <c r="H4" s="12" t="inlineStr">
        <is>
          <t>%</t>
        </is>
      </c>
      <c r="I4" s="12" t="inlineStr"/>
      <c r="J4" s="12" t="inlineStr">
        <is>
          <t>Mercado P.U.</t>
        </is>
      </c>
      <c r="K4" s="12" t="inlineStr">
        <is>
          <t>Op. ref.</t>
        </is>
      </c>
      <c r="L4" s="12" t="inlineStr">
        <is>
          <t>Cantidad ref.</t>
        </is>
      </c>
      <c r="M4" s="12" t="inlineStr">
        <is>
          <t>Mercado importe</t>
        </is>
      </c>
      <c r="N4" s="12" t="inlineStr">
        <is>
          <t>Alerta / regla</t>
        </is>
      </c>
    </row>
    <row r="5" ht="42" customHeight="1">
      <c r="A5" s="13" t="inlineStr">
        <is>
          <t>FLEX41.11</t>
        </is>
      </c>
      <c r="B5" s="13" t="inlineStr">
        <is>
          <t>PARTIDA: Instalación de bomba centrifuga</t>
        </is>
      </c>
      <c r="C5" s="13" t="inlineStr">
        <is>
          <t>PZA</t>
        </is>
      </c>
      <c r="D5" s="14" t="n">
        <v>31524.55</v>
      </c>
      <c r="E5" s="13" t="inlineStr"/>
      <c r="F5" s="13" t="n">
        <v>1</v>
      </c>
      <c r="G5" s="14">
        <f>D5*F5</f>
        <v/>
      </c>
      <c r="H5" s="15">
        <f>G5/$G$21</f>
        <v/>
      </c>
      <c r="I5" s="13" t="inlineStr"/>
      <c r="J5" s="14" t="n">
        <v>6020.4</v>
      </c>
      <c r="K5" s="13" t="inlineStr">
        <is>
          <t>*</t>
        </is>
      </c>
      <c r="L5" s="13" t="n">
        <v>1</v>
      </c>
      <c r="M5" s="14">
        <f>J5*L5</f>
        <v/>
      </c>
      <c r="N5" s="13" t="inlineStr">
        <is>
          <t>Partida leída desde archivo del contratista</t>
        </is>
      </c>
    </row>
    <row r="6" ht="24" customHeight="1">
      <c r="A6" s="16" t="inlineStr"/>
      <c r="B6" s="16" t="inlineStr">
        <is>
          <t>MATERIALES</t>
        </is>
      </c>
      <c r="C6" s="16" t="inlineStr"/>
      <c r="D6" s="17" t="inlineStr"/>
      <c r="E6" s="16" t="inlineStr"/>
      <c r="F6" s="16" t="inlineStr"/>
      <c r="G6" s="17" t="inlineStr"/>
      <c r="H6" s="18" t="inlineStr"/>
      <c r="I6" s="16" t="inlineStr"/>
      <c r="J6" s="17" t="inlineStr"/>
      <c r="K6" s="16" t="inlineStr"/>
      <c r="L6" s="16" t="inlineStr"/>
      <c r="M6" s="17" t="inlineStr"/>
      <c r="N6" s="16" t="inlineStr">
        <is>
          <t>Bloque detectado en matriz del contratista</t>
        </is>
      </c>
    </row>
    <row r="7" ht="24" customHeight="1">
      <c r="A7" s="4" t="inlineStr">
        <is>
          <t>consu-mec</t>
        </is>
      </c>
      <c r="B7" s="4" t="inlineStr">
        <is>
          <t>Consumibles para corte y soldadura</t>
        </is>
      </c>
      <c r="C7" s="4" t="inlineStr">
        <is>
          <t>%</t>
        </is>
      </c>
      <c r="D7" s="5" t="n">
        <v>22453.38</v>
      </c>
      <c r="E7" s="4" t="inlineStr">
        <is>
          <t>%</t>
        </is>
      </c>
      <c r="F7" s="4" t="n">
        <v>0.08</v>
      </c>
      <c r="G7" s="5">
        <f>D7*F7</f>
        <v/>
      </c>
      <c r="H7" s="6">
        <f>G7/$G$21</f>
        <v/>
      </c>
      <c r="I7" s="4" t="inlineStr"/>
      <c r="J7" s="5" t="n">
        <v>22453.38</v>
      </c>
      <c r="K7" s="4" t="inlineStr">
        <is>
          <t>%</t>
        </is>
      </c>
      <c r="L7" s="4" t="n">
        <v>0.08</v>
      </c>
      <c r="M7" s="5">
        <f>J7*L7</f>
        <v/>
      </c>
      <c r="N7" s="4" t="inlineStr">
        <is>
          <t>Referencia granular desde data/materiales</t>
        </is>
      </c>
    </row>
    <row r="8" ht="24" customHeight="1">
      <c r="A8" s="19" t="inlineStr"/>
      <c r="B8" s="19" t="inlineStr">
        <is>
          <t>SUBTOTAL MATERIALES</t>
        </is>
      </c>
      <c r="C8" s="19" t="inlineStr"/>
      <c r="D8" s="20" t="inlineStr"/>
      <c r="E8" s="19" t="inlineStr"/>
      <c r="F8" s="19" t="inlineStr"/>
      <c r="G8" s="20">
        <f>SUM(G7:G7)</f>
        <v/>
      </c>
      <c r="H8" s="21">
        <f>G8/$G$21</f>
        <v/>
      </c>
      <c r="I8" s="19" t="inlineStr"/>
      <c r="J8" s="20" t="inlineStr"/>
      <c r="K8" s="19" t="inlineStr"/>
      <c r="L8" s="19" t="inlineStr"/>
      <c r="M8" s="20">
        <f>SUM(M7:M7)</f>
        <v/>
      </c>
      <c r="N8" s="19" t="inlineStr">
        <is>
          <t>Subtotal calculado</t>
        </is>
      </c>
    </row>
    <row r="9" ht="24" customHeight="1">
      <c r="A9" s="16" t="inlineStr"/>
      <c r="B9" s="16" t="inlineStr">
        <is>
          <t>MANO DE OBRA</t>
        </is>
      </c>
      <c r="C9" s="16" t="inlineStr"/>
      <c r="D9" s="17" t="inlineStr"/>
      <c r="E9" s="16" t="inlineStr"/>
      <c r="F9" s="16" t="inlineStr"/>
      <c r="G9" s="17" t="inlineStr"/>
      <c r="H9" s="18" t="inlineStr"/>
      <c r="I9" s="16" t="inlineStr"/>
      <c r="J9" s="17" t="inlineStr"/>
      <c r="K9" s="16" t="inlineStr"/>
      <c r="L9" s="16" t="inlineStr"/>
      <c r="M9" s="17" t="inlineStr"/>
      <c r="N9" s="16" t="inlineStr">
        <is>
          <t>Bloque detectado en matriz del contratista</t>
        </is>
      </c>
    </row>
    <row r="10" ht="24" customHeight="1">
      <c r="A10" s="4" t="inlineStr">
        <is>
          <t>SUP-O</t>
        </is>
      </c>
      <c r="B10" s="4" t="inlineStr">
        <is>
          <t>Supervisor Obra</t>
        </is>
      </c>
      <c r="C10" s="4" t="inlineStr">
        <is>
          <t>JOR</t>
        </is>
      </c>
      <c r="D10" s="5" t="n">
        <v>2643.19</v>
      </c>
      <c r="E10" s="4" t="inlineStr">
        <is>
          <t>*</t>
        </is>
      </c>
      <c r="F10" s="4" t="n">
        <v>0.1</v>
      </c>
      <c r="G10" s="5">
        <f>D10*F10</f>
        <v/>
      </c>
      <c r="H10" s="6">
        <f>G10/$G$21</f>
        <v/>
      </c>
      <c r="I10" s="4" t="inlineStr"/>
      <c r="J10" s="5" t="n">
        <v>1757.33</v>
      </c>
      <c r="K10" s="4" t="inlineStr">
        <is>
          <t>*</t>
        </is>
      </c>
      <c r="L10" s="4" t="n">
        <v>0.1</v>
      </c>
      <c r="M10" s="5">
        <f>J10*L10</f>
        <v/>
      </c>
      <c r="N10" s="4" t="inlineStr">
        <is>
          <t>Referencia desde data/mano de obra</t>
        </is>
      </c>
    </row>
    <row r="11" ht="24" customHeight="1">
      <c r="A11" s="4" t="inlineStr">
        <is>
          <t>OF-SOL</t>
        </is>
      </c>
      <c r="B11" s="4" t="inlineStr">
        <is>
          <t>Oficial soldador/argonero</t>
        </is>
      </c>
      <c r="C11" s="4" t="inlineStr">
        <is>
          <t>JOR</t>
        </is>
      </c>
      <c r="D11" s="5" t="n">
        <v>2120.45</v>
      </c>
      <c r="E11" s="4" t="inlineStr">
        <is>
          <t>*</t>
        </is>
      </c>
      <c r="F11" s="4" t="n">
        <v>1</v>
      </c>
      <c r="G11" s="5">
        <f>D11*F11</f>
        <v/>
      </c>
      <c r="H11" s="6">
        <f>G11/$G$21</f>
        <v/>
      </c>
      <c r="I11" s="4" t="inlineStr"/>
      <c r="J11" s="5" t="n">
        <v>1326.14</v>
      </c>
      <c r="K11" s="4" t="inlineStr">
        <is>
          <t>*</t>
        </is>
      </c>
      <c r="L11" s="4" t="n">
        <v>1</v>
      </c>
      <c r="M11" s="5">
        <f>J11*L11</f>
        <v/>
      </c>
      <c r="N11" s="4" t="inlineStr">
        <is>
          <t>Referencia desde data/mano de obra</t>
        </is>
      </c>
    </row>
    <row r="12" ht="24" customHeight="1">
      <c r="A12" s="19" t="inlineStr"/>
      <c r="B12" s="19" t="inlineStr">
        <is>
          <t>SUBTOTAL MANO DE OBRA</t>
        </is>
      </c>
      <c r="C12" s="19" t="inlineStr"/>
      <c r="D12" s="20" t="inlineStr"/>
      <c r="E12" s="19" t="inlineStr"/>
      <c r="F12" s="19" t="inlineStr"/>
      <c r="G12" s="20">
        <f>SUM(G10:G11)</f>
        <v/>
      </c>
      <c r="H12" s="21">
        <f>G12/$G$21</f>
        <v/>
      </c>
      <c r="I12" s="19" t="inlineStr"/>
      <c r="J12" s="20" t="inlineStr"/>
      <c r="K12" s="19" t="inlineStr"/>
      <c r="L12" s="19" t="inlineStr"/>
      <c r="M12" s="20">
        <f>SUM(M10:M11)</f>
        <v/>
      </c>
      <c r="N12" s="19" t="inlineStr">
        <is>
          <t>Subtotal calculado</t>
        </is>
      </c>
    </row>
    <row r="13" ht="24" customHeight="1">
      <c r="A13" s="16" t="inlineStr"/>
      <c r="B13" s="16" t="inlineStr">
        <is>
          <t>EQUIPO Y HERRAMIENTA</t>
        </is>
      </c>
      <c r="C13" s="16" t="inlineStr"/>
      <c r="D13" s="17" t="inlineStr"/>
      <c r="E13" s="16" t="inlineStr"/>
      <c r="F13" s="16" t="inlineStr"/>
      <c r="G13" s="17" t="inlineStr"/>
      <c r="H13" s="18" t="inlineStr"/>
      <c r="I13" s="16" t="inlineStr"/>
      <c r="J13" s="17" t="inlineStr"/>
      <c r="K13" s="16" t="inlineStr"/>
      <c r="L13" s="16" t="inlineStr"/>
      <c r="M13" s="17" t="inlineStr"/>
      <c r="N13" s="16" t="inlineStr">
        <is>
          <t>Bloque detectado en matriz del contratista</t>
        </is>
      </c>
    </row>
    <row r="14" ht="24" customHeight="1">
      <c r="A14" s="4" t="inlineStr">
        <is>
          <t>%HERR</t>
        </is>
      </c>
      <c r="B14" s="4" t="inlineStr">
        <is>
          <t>Herramienta menor</t>
        </is>
      </c>
      <c r="C14" s="4" t="inlineStr">
        <is>
          <t>%</t>
        </is>
      </c>
      <c r="D14" s="5">
        <f>G12</f>
        <v/>
      </c>
      <c r="E14" s="4" t="inlineStr">
        <is>
          <t>%</t>
        </is>
      </c>
      <c r="F14" s="4" t="n">
        <v>0.09</v>
      </c>
      <c r="G14" s="5">
        <f>D14*F14</f>
        <v/>
      </c>
      <c r="H14" s="6">
        <f>G14/$G$21</f>
        <v/>
      </c>
      <c r="I14" s="4" t="inlineStr"/>
      <c r="J14" s="5">
        <f>M12</f>
        <v/>
      </c>
      <c r="K14" s="4" t="inlineStr">
        <is>
          <t>%</t>
        </is>
      </c>
      <c r="L14" s="4" t="n">
        <v>0.09</v>
      </c>
      <c r="M14" s="5">
        <f>J14*L14</f>
        <v/>
      </c>
      <c r="N14" s="4" t="inlineStr">
        <is>
          <t>Porcentaje de referencia desde data</t>
        </is>
      </c>
    </row>
    <row r="15" ht="24" customHeight="1">
      <c r="A15" s="4" t="inlineStr">
        <is>
          <t>%EPP</t>
        </is>
      </c>
      <c r="B15" s="4" t="inlineStr">
        <is>
          <t>Equipo de protección personal</t>
        </is>
      </c>
      <c r="C15" s="4" t="inlineStr">
        <is>
          <t>%</t>
        </is>
      </c>
      <c r="D15" s="5">
        <f>G12</f>
        <v/>
      </c>
      <c r="E15" s="4" t="inlineStr">
        <is>
          <t>%</t>
        </is>
      </c>
      <c r="F15" s="4" t="n">
        <v>0.09</v>
      </c>
      <c r="G15" s="5">
        <f>D15*F15</f>
        <v/>
      </c>
      <c r="H15" s="6">
        <f>G15/$G$21</f>
        <v/>
      </c>
      <c r="I15" s="4" t="inlineStr"/>
      <c r="J15" s="5">
        <f>M12</f>
        <v/>
      </c>
      <c r="K15" s="4" t="inlineStr">
        <is>
          <t>%</t>
        </is>
      </c>
      <c r="L15" s="4" t="n">
        <v>0.09</v>
      </c>
      <c r="M15" s="5">
        <f>J15*L15</f>
        <v/>
      </c>
      <c r="N15" s="4" t="inlineStr">
        <is>
          <t>Porcentaje de referencia desde data</t>
        </is>
      </c>
    </row>
    <row r="16" ht="24" customHeight="1">
      <c r="A16" s="19" t="inlineStr"/>
      <c r="B16" s="19" t="inlineStr">
        <is>
          <t>SUBTOTAL EQUIPO Y HERRAMIENTA</t>
        </is>
      </c>
      <c r="C16" s="19" t="inlineStr"/>
      <c r="D16" s="20" t="inlineStr"/>
      <c r="E16" s="19" t="inlineStr"/>
      <c r="F16" s="19" t="inlineStr"/>
      <c r="G16" s="20">
        <f>SUM(G14:G15)</f>
        <v/>
      </c>
      <c r="H16" s="21">
        <f>G16/$G$21</f>
        <v/>
      </c>
      <c r="I16" s="19" t="inlineStr"/>
      <c r="J16" s="20" t="inlineStr"/>
      <c r="K16" s="19" t="inlineStr"/>
      <c r="L16" s="19" t="inlineStr"/>
      <c r="M16" s="20">
        <f>SUM(M14:M15)</f>
        <v/>
      </c>
      <c r="N16" s="19" t="inlineStr">
        <is>
          <t>Subtotal calculado</t>
        </is>
      </c>
    </row>
    <row r="17" ht="24" customHeight="1">
      <c r="A17" s="16" t="inlineStr"/>
      <c r="B17" s="16" t="inlineStr">
        <is>
          <t>SECCIÓN FINANCIERA</t>
        </is>
      </c>
      <c r="C17" s="16" t="inlineStr"/>
      <c r="D17" s="17" t="inlineStr"/>
      <c r="E17" s="16" t="inlineStr"/>
      <c r="F17" s="16" t="inlineStr"/>
      <c r="G17" s="17" t="inlineStr"/>
      <c r="H17" s="18" t="inlineStr"/>
      <c r="I17" s="16" t="inlineStr"/>
      <c r="J17" s="17" t="inlineStr"/>
      <c r="K17" s="16" t="inlineStr"/>
      <c r="L17" s="16" t="inlineStr"/>
      <c r="M17" s="17" t="inlineStr"/>
      <c r="N17" s="16" t="inlineStr">
        <is>
          <t>Bloque financiero de la matriz del contratista</t>
        </is>
      </c>
    </row>
    <row r="18" ht="24" customHeight="1">
      <c r="A18" s="19" t="inlineStr"/>
      <c r="B18" s="19" t="inlineStr">
        <is>
          <t>COSTO DIRECTO</t>
        </is>
      </c>
      <c r="C18" s="19" t="inlineStr"/>
      <c r="D18" s="20" t="inlineStr"/>
      <c r="E18" s="19" t="inlineStr"/>
      <c r="F18" s="19" t="inlineStr"/>
      <c r="G18" s="20">
        <f>G8+G12+G16</f>
        <v/>
      </c>
      <c r="H18" s="21">
        <f>G18/$G$21</f>
        <v/>
      </c>
      <c r="I18" s="19" t="inlineStr"/>
      <c r="J18" s="20" t="inlineStr"/>
      <c r="K18" s="19" t="inlineStr"/>
      <c r="L18" s="19" t="inlineStr"/>
      <c r="M18" s="20">
        <f>M8+M12+M16</f>
        <v/>
      </c>
      <c r="N18" s="19" t="inlineStr">
        <is>
          <t>Calculado</t>
        </is>
      </c>
    </row>
    <row r="19" ht="24" customHeight="1">
      <c r="A19" s="19" t="inlineStr"/>
      <c r="B19" s="19" t="inlineStr">
        <is>
          <t>COSTO INDIRECTO</t>
        </is>
      </c>
      <c r="C19" s="19" t="inlineStr">
        <is>
          <t>%</t>
        </is>
      </c>
      <c r="D19" s="20">
        <f>G18</f>
        <v/>
      </c>
      <c r="E19" s="19" t="inlineStr">
        <is>
          <t>%</t>
        </is>
      </c>
      <c r="F19" s="19" t="n">
        <v>0.25</v>
      </c>
      <c r="G19" s="20">
        <f>D19*F19</f>
        <v/>
      </c>
      <c r="H19" s="21">
        <f>G19/$G$21</f>
        <v/>
      </c>
      <c r="I19" s="19" t="inlineStr"/>
      <c r="J19" s="20">
        <f>M18</f>
        <v/>
      </c>
      <c r="K19" s="19" t="inlineStr">
        <is>
          <t>%</t>
        </is>
      </c>
      <c r="L19" s="19" t="n">
        <v>0.25</v>
      </c>
      <c r="M19" s="20">
        <f>J19*L19</f>
        <v/>
      </c>
      <c r="N19" s="19" t="inlineStr">
        <is>
          <t>Porcentaje comparado contra referencia</t>
        </is>
      </c>
    </row>
    <row r="20" ht="24" customHeight="1">
      <c r="A20" s="7" t="inlineStr"/>
      <c r="B20" s="7" t="inlineStr">
        <is>
          <t>TOTAL COSTO UNITARIO</t>
        </is>
      </c>
      <c r="C20" s="7" t="inlineStr"/>
      <c r="D20" s="8" t="inlineStr"/>
      <c r="E20" s="7" t="inlineStr"/>
      <c r="F20" s="7" t="inlineStr"/>
      <c r="G20" s="8">
        <f>G18+G19</f>
        <v/>
      </c>
      <c r="H20" s="9">
        <f>G20/$G$21</f>
        <v/>
      </c>
      <c r="I20" s="7" t="inlineStr"/>
      <c r="J20" s="8" t="inlineStr"/>
      <c r="K20" s="7" t="inlineStr"/>
      <c r="L20" s="7" t="inlineStr"/>
      <c r="M20" s="8">
        <f>M18+M19</f>
        <v/>
      </c>
      <c r="N20" s="7" t="inlineStr">
        <is>
          <t>Total calculado de la matriz</t>
        </is>
      </c>
    </row>
    <row r="21" ht="24" customHeight="1">
      <c r="A21" s="7" t="inlineStr"/>
      <c r="B21" s="7" t="inlineStr">
        <is>
          <t>TOTAL POR SERVICIO</t>
        </is>
      </c>
      <c r="C21" s="7" t="inlineStr"/>
      <c r="D21" s="8">
        <f>G20</f>
        <v/>
      </c>
      <c r="E21" s="7" t="inlineStr">
        <is>
          <t>*</t>
        </is>
      </c>
      <c r="F21" s="7" t="n">
        <v>1</v>
      </c>
      <c r="G21" s="8">
        <f>D21*F21</f>
        <v/>
      </c>
      <c r="H21" s="9">
        <f>G21/$G$21</f>
        <v/>
      </c>
      <c r="I21" s="7" t="inlineStr"/>
      <c r="J21" s="8">
        <f>M20</f>
        <v/>
      </c>
      <c r="K21" s="7" t="inlineStr">
        <is>
          <t>*</t>
        </is>
      </c>
      <c r="L21" s="7" t="n">
        <v>1</v>
      </c>
      <c r="M21" s="8">
        <f>J21*L21</f>
        <v/>
      </c>
      <c r="N21" s="7" t="inlineStr">
        <is>
          <t>Debe reconciliar con Comparativa</t>
        </is>
      </c>
    </row>
    <row r="24">
      <c r="A24" s="22" t="inlineStr">
        <is>
          <t>Regla canónica</t>
        </is>
      </c>
    </row>
    <row r="25">
      <c r="A25" s="11" t="inlineStr">
        <is>
          <t>El motor real NO debe copiar matrices completas de referencia: debe leer el APU del contratista, interpretar bloques y enriquecer con materiales, MO, maquinaria y porcentajes desde data.</t>
        </is>
      </c>
    </row>
  </sheetData>
  <autoFilter ref="A4:N21"/>
  <mergeCells count="3">
    <mergeCell ref="A25:N25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3" t="inlineStr">
        <is>
          <t>Analisis IA</t>
        </is>
      </c>
    </row>
    <row r="3">
      <c r="A3" s="24" t="inlineStr">
        <is>
          <t>1. Veredicto general</t>
        </is>
      </c>
    </row>
    <row r="4">
      <c r="A4" s="24" t="inlineStr">
        <is>
          <t>La propuesta se evalúa contra mercado granular usando referencias de data para materiales, mano de obra y maquinaria.</t>
        </is>
      </c>
    </row>
    <row r="5">
      <c r="A5" s="24" t="inlineStr">
        <is>
          <t>2. Principales riesgos detectados</t>
        </is>
      </c>
    </row>
    <row r="6">
      <c r="A6" s="24" t="inlineStr">
        <is>
          <t>Validar partidas bajo mercado para descartar omisiones de alcance y revisar porcentajes financieros/indirectos.</t>
        </is>
      </c>
    </row>
    <row r="7">
      <c r="A7" s="24" t="inlineStr">
        <is>
          <t>3. Limitaciones</t>
        </is>
      </c>
    </row>
    <row r="8">
      <c r="A8" s="24" t="inlineStr">
        <is>
          <t>V0 usa datos mockeados; el motor real deberá leer la matriz/APU del contratista para poblar Detalle.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2026-06-17T22:56:43Z</dcterms:created>
  <dcterms:modified xmlns:dcterms="http://purl.org/dc/terms/" xmlns:xsi="http://www.w3.org/2001/XMLSchema-instance" xsi:type="dcterms:W3CDTF">2026-06-17T22:56:43Z</dcterms:modified>
</cp:coreProperties>
</file>