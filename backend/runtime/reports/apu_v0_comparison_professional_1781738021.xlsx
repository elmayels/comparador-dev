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arativa" sheetId="2" state="visible" r:id="rId2"/>
    <sheet xmlns:r="http://schemas.openxmlformats.org/officeDocument/2006/relationships" name="Detalle APU" sheetId="3" state="visible" r:id="rId3"/>
    <sheet xmlns:r="http://schemas.openxmlformats.org/officeDocument/2006/relationships" name="Partidas Críticas" sheetId="4" state="visible" r:id="rId4"/>
    <sheet xmlns:r="http://schemas.openxmlformats.org/officeDocument/2006/relationships" name="Insumos Críticos" sheetId="5" state="visible" r:id="rId5"/>
    <sheet xmlns:r="http://schemas.openxmlformats.org/officeDocument/2006/relationships" name="Validaciones" sheetId="6" state="visible" r:id="rId6"/>
    <sheet xmlns:r="http://schemas.openxmlformats.org/officeDocument/2006/relationships" name="Parámetros" sheetId="7" state="visible" r:id="rId7"/>
    <sheet xmlns:r="http://schemas.openxmlformats.org/officeDocument/2006/relationships" name="Análisis IA" sheetId="8" state="visible" r:id="rId8"/>
  </sheets>
  <definedNames>
    <definedName name="_xlnm._FilterDatabase" localSheetId="1" hidden="1">'Comparativa'!$A$5:$P$14</definedName>
    <definedName name="_xlnm._FilterDatabase" localSheetId="2" hidden="1">'Detalle APU'!$A$5:$R$14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b val="1"/>
      <color rgb="001F4E79"/>
      <sz val="17"/>
    </font>
    <font>
      <i val="1"/>
      <color rgb="00667085"/>
    </font>
    <font>
      <b val="1"/>
      <color rgb="00667085"/>
      <sz val="9"/>
    </font>
    <font>
      <b val="1"/>
      <color rgb="001F4E79"/>
      <sz val="15"/>
    </font>
    <font>
      <color rgb="00667085"/>
      <sz val="9"/>
    </font>
    <font>
      <b val="1"/>
      <color rgb="001F4E79"/>
    </font>
    <font>
      <b val="1"/>
      <color rgb="00FFFFFF"/>
    </font>
    <font>
      <color rgb="001F2937"/>
    </font>
    <font>
      <name val="Calibri"/>
      <family val="2"/>
      <color theme="10"/>
      <sz val="12"/>
      <scheme val="minor"/>
    </font>
    <font>
      <b val="1"/>
      <color rgb="001F2937"/>
    </font>
  </fonts>
  <fills count="12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FFF7E6"/>
      </patternFill>
    </fill>
    <fill>
      <patternFill patternType="solid">
        <fgColor rgb="00EDF6FC"/>
      </patternFill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CFCFD"/>
      </patternFill>
    </fill>
    <fill>
      <patternFill patternType="solid">
        <fgColor rgb="00EAF2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bottom style="thin">
        <color rgb="00CBD5E1"/>
      </bottom>
    </border>
    <border>
      <left style="thin">
        <color rgb="00B6C2CF"/>
      </left>
      <right style="thin">
        <color rgb="00B6C2CF"/>
      </right>
      <top style="thin">
        <color rgb="00B6C2CF"/>
      </top>
      <bottom style="thin">
        <color rgb="00B6C2CF"/>
      </bottom>
    </border>
    <border>
      <left style="thin">
        <color rgb="00EAECF0"/>
      </left>
      <right style="thin">
        <color rgb="00EAECF0"/>
      </right>
      <top style="thin">
        <color rgb="00EAECF0"/>
      </top>
      <bottom style="thin">
        <color rgb="00EAECF0"/>
      </bottom>
    </border>
  </borders>
  <cellStyleXfs count="2">
    <xf numFmtId="0" fontId="0" fillId="0" borderId="0"/>
    <xf numFmtId="0" fontId="9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vertical="center"/>
    </xf>
    <xf numFmtId="0" fontId="7" fillId="5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vertical="top" wrapText="1"/>
    </xf>
    <xf numFmtId="164" fontId="8" fillId="0" borderId="4" applyAlignment="1" pivotButton="0" quotePrefix="0" xfId="0">
      <alignment vertical="top" wrapText="1"/>
    </xf>
    <xf numFmtId="10" fontId="8" fillId="0" borderId="4" applyAlignment="1" pivotButton="0" quotePrefix="0" xfId="0">
      <alignment vertical="top" wrapText="1"/>
    </xf>
    <xf numFmtId="0" fontId="8" fillId="2" borderId="4" applyAlignment="1" pivotButton="0" quotePrefix="0" xfId="0">
      <alignment vertical="top" wrapText="1"/>
    </xf>
    <xf numFmtId="0" fontId="8" fillId="6" borderId="4" applyAlignment="1" pivotButton="0" quotePrefix="0" xfId="0">
      <alignment vertical="top" wrapText="1"/>
    </xf>
    <xf numFmtId="0" fontId="8" fillId="9" borderId="4" applyAlignment="1" pivotButton="0" quotePrefix="0" xfId="0">
      <alignment vertical="top" wrapText="1"/>
    </xf>
    <xf numFmtId="164" fontId="8" fillId="9" borderId="4" applyAlignment="1" pivotButton="0" quotePrefix="0" xfId="0">
      <alignment vertical="top" wrapText="1"/>
    </xf>
    <xf numFmtId="10" fontId="8" fillId="9" borderId="4" applyAlignment="1" pivotButton="0" quotePrefix="0" xfId="0">
      <alignment vertical="top" wrapText="1"/>
    </xf>
    <xf numFmtId="0" fontId="8" fillId="8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9" fillId="0" borderId="0" applyAlignment="1" pivotButton="0" quotePrefix="0" xfId="1">
      <alignment horizontal="center"/>
    </xf>
    <xf numFmtId="3" fontId="8" fillId="9" borderId="4" applyAlignment="1" pivotButton="0" quotePrefix="0" xfId="0">
      <alignment vertical="top" wrapText="1"/>
    </xf>
    <xf numFmtId="3" fontId="8" fillId="0" borderId="4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10" fillId="10" borderId="4" applyAlignment="1" pivotButton="0" quotePrefix="0" xfId="0">
      <alignment vertical="top" wrapText="1"/>
    </xf>
    <xf numFmtId="10" fontId="10" fillId="10" borderId="4" applyAlignment="1" pivotButton="0" quotePrefix="0" xfId="0">
      <alignment vertical="top" wrapText="1"/>
    </xf>
    <xf numFmtId="164" fontId="10" fillId="10" borderId="4" applyAlignment="1" pivotButton="0" quotePrefix="0" xfId="0">
      <alignment vertical="top" wrapText="1"/>
    </xf>
    <xf numFmtId="0" fontId="0" fillId="11" borderId="4" applyAlignment="1" pivotButton="0" quotePrefix="0" xfId="0">
      <alignment vertical="top" wrapText="1"/>
    </xf>
    <xf numFmtId="10" fontId="0" fillId="11" borderId="4" applyAlignment="1" pivotButton="0" quotePrefix="0" xfId="0">
      <alignment vertical="top" wrapText="1"/>
    </xf>
    <xf numFmtId="164" fontId="0" fillId="11" borderId="4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10" fontId="0" fillId="2" borderId="4" applyAlignment="1" pivotButton="0" quotePrefix="0" xfId="0">
      <alignment vertical="top" wrapText="1"/>
    </xf>
    <xf numFmtId="164" fontId="0" fillId="2" borderId="4" applyAlignment="1" pivotButton="0" quotePrefix="0" xfId="0">
      <alignment vertical="top" wrapText="1"/>
    </xf>
    <xf numFmtId="0" fontId="10" fillId="7" borderId="4" applyAlignment="1" pivotButton="0" quotePrefix="0" xfId="0">
      <alignment vertical="top" wrapText="1"/>
    </xf>
    <xf numFmtId="10" fontId="10" fillId="7" borderId="4" applyAlignment="1" pivotButton="0" quotePrefix="0" xfId="0">
      <alignment vertical="top" wrapText="1"/>
    </xf>
    <xf numFmtId="164" fontId="10" fillId="7" borderId="4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ExecutiveRanking" displayName="ExecutiveRanking" ref="A10:G13" headerRowCount="1">
  <autoFilter ref="A10:G13"/>
  <tableColumns count="7">
    <tableColumn id="1" name="Posición"/>
    <tableColumn id="2" name="Contratista"/>
    <tableColumn id="3" name="Monto total"/>
    <tableColumn id="4" name="Dif. vs menor"/>
    <tableColumn id="5" name="Desv. promedio"/>
    <tableColumn id="6" name="Riesgo"/>
    <tableColumn id="7" name="Semáfor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parativaTable" displayName="ComparativaTable" ref="A5:P14" headerRowCount="1">
  <autoFilter ref="A5:P14"/>
  <tableColumns count="16">
    <tableColumn id="1" name="Partida"/>
    <tableColumn id="2" name="Descripción"/>
    <tableColumn id="3" name="Familia"/>
    <tableColumn id="4" name="Unidad"/>
    <tableColumn id="5" name="Cantidad"/>
    <tableColumn id="6" name="Contratista"/>
    <tableColumn id="7" name="P.U. ofertado"/>
    <tableColumn id="8" name="Importe ofertado"/>
    <tableColumn id="9" name="P.U. referencia"/>
    <tableColumn id="10" name="Importe referencia"/>
    <tableColumn id="11" name="Diferencia"/>
    <tableColumn id="12" name="Desviación %"/>
    <tableColumn id="13" name="Impacto"/>
    <tableColumn id="14" name="Peso %"/>
    <tableColumn id="15" name="Estado"/>
    <tableColumn id="16" name="Observa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talleApuTable" displayName="DetalleApuTable" ref="A5:R14" headerRowCount="1">
  <autoFilter ref="A5:R14"/>
  <tableColumns count="18">
    <tableColumn id="1" name="Contratista"/>
    <tableColumn id="2" name="Partida"/>
    <tableColumn id="3" name="Bloque APU"/>
    <tableColumn id="4" name="Concepto / insumo"/>
    <tableColumn id="5" name="Unidad"/>
    <tableColumn id="6" name="Op."/>
    <tableColumn id="7" name="Cantidad"/>
    <tableColumn id="8" name="P.U. contratista"/>
    <tableColumn id="9" name="Importe contratista"/>
    <tableColumn id="10" name="P.U. referencia"/>
    <tableColumn id="11" name="Importe referencia"/>
    <tableColumn id="12" name="Diferencia"/>
    <tableColumn id="13" name="Desv. %"/>
    <tableColumn id="14" name="Fuente referencia"/>
    <tableColumn id="15" name="Estado match"/>
    <tableColumn id="16" name="Tipo fila"/>
    <tableColumn id="17" name="Alerta"/>
    <tableColumn id="18" name="Regla / observació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PartidasCriticasTable" displayName="PartidasCriticasTable" ref="A5:L9" headerRowCount="1">
  <autoFilter ref="A5:L9"/>
  <tableColumns count="12">
    <tableColumn id="1" name="Prioridad"/>
    <tableColumn id="2" name="Contratista"/>
    <tableColumn id="3" name="Partida"/>
    <tableColumn id="4" name="Descripción"/>
    <tableColumn id="5" name="Familia"/>
    <tableColumn id="6" name="Impacto"/>
    <tableColumn id="7" name="Desv. %"/>
    <tableColumn id="8" name="Peso %"/>
    <tableColumn id="9" name="Motivo"/>
    <tableColumn id="10" name="Acción sugerida"/>
    <tableColumn id="11" name="Estado revisión"/>
    <tableColumn id="12" name="Responsab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sumosCriticosTable" displayName="InsumosCriticosTable" ref="A5:M9" headerRowCount="1">
  <autoFilter ref="A5:M9"/>
  <tableColumns count="13">
    <tableColumn id="1" name="Contratista"/>
    <tableColumn id="2" name="Partida"/>
    <tableColumn id="3" name="Tipo insumo"/>
    <tableColumn id="4" name="Insumo"/>
    <tableColumn id="5" name="Unidad"/>
    <tableColumn id="6" name="Cantidad"/>
    <tableColumn id="7" name="P.U. contratista"/>
    <tableColumn id="8" name="P.U. referencia"/>
    <tableColumn id="9" name="Desv. %"/>
    <tableColumn id="10" name="Impacto"/>
    <tableColumn id="11" name="Fuente data"/>
    <tableColumn id="12" name="Alerta"/>
    <tableColumn id="13" name="Observ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ValidacionesTable" displayName="ValidacionesTable" ref="A5:J9" headerRowCount="1">
  <autoFilter ref="A5:J9"/>
  <tableColumns count="10">
    <tableColumn id="1" name="Severidad"/>
    <tableColumn id="2" name="Tipo"/>
    <tableColumn id="3" name="Contratista"/>
    <tableColumn id="4" name="Partida"/>
    <tableColumn id="5" name="Campo"/>
    <tableColumn id="6" name="Valor detectado"/>
    <tableColumn id="7" name="Problema"/>
    <tableColumn id="8" name="Impacto potencial"/>
    <tableColumn id="9" name="Acción sugerida"/>
    <tableColumn id="10" name="Est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arametrosTable" displayName="ParametrosTable" ref="A5:C15" headerRowCount="1">
  <autoFilter ref="A5:C15"/>
  <tableColumns count="3">
    <tableColumn id="1" name="Parámetro"/>
    <tableColumn id="2" name="Valor"/>
    <tableColumn id="3" name="Tip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nalisisIATable" displayName="AnalisisIATable" ref="A5:B10" headerRowCount="1">
  <autoFilter ref="A5:B10"/>
  <tableColumns count="2">
    <tableColumn id="1" name="Sección"/>
    <tableColumn id="2" name="Conten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mparativa'!A1" TargetMode="External" Id="rId1"/><Relationship Type="http://schemas.openxmlformats.org/officeDocument/2006/relationships/hyperlink" Target="#'Detalle APU'!A1" TargetMode="External" Id="rId2"/><Relationship Type="http://schemas.openxmlformats.org/officeDocument/2006/relationships/hyperlink" Target="#'Partidas Cr&#237;ticas'!A1" TargetMode="External" Id="rId3"/><Relationship Type="http://schemas.openxmlformats.org/officeDocument/2006/relationships/hyperlink" Target="#'Insumos Cr&#237;ticos'!A1" TargetMode="External" Id="rId4"/><Relationship Type="http://schemas.openxmlformats.org/officeDocument/2006/relationships/hyperlink" Target="#'Validaciones'!A1" TargetMode="External" Id="rId5"/><Relationship Type="http://schemas.openxmlformats.org/officeDocument/2006/relationships/hyperlink" Target="#'Par&#225;metros'!A1" TargetMode="External" Id="rId6"/><Relationship Type="http://schemas.openxmlformats.org/officeDocument/2006/relationships/table" Target="/xl/tables/table1.xml" Id="rId7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24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Resumen Ejecutivo</t>
        </is>
      </c>
    </row>
    <row r="2" ht="34" customHeight="1">
      <c r="A2" s="2" t="inlineStr">
        <is>
          <t>Vista gerencial: KPIs, ranking, hallazgos y navegación interna del reporte.</t>
        </is>
      </c>
    </row>
    <row r="4">
      <c r="A4" s="3" t="inlineStr">
        <is>
          <t>Mejor oferta</t>
        </is>
      </c>
      <c r="B4" s="4" t="n"/>
      <c r="C4" s="5" t="inlineStr">
        <is>
          <t>Riesgo global</t>
        </is>
      </c>
      <c r="D4" s="6" t="n"/>
      <c r="E4" s="3" t="inlineStr">
        <is>
          <t>Partidas críticas</t>
        </is>
      </c>
      <c r="F4" s="4" t="n"/>
      <c r="G4" s="3" t="inlineStr">
        <is>
          <t>Sin referencia</t>
        </is>
      </c>
      <c r="H4" s="4" t="n"/>
      <c r="I4" s="3" t="inlineStr">
        <is>
          <t>Modo</t>
        </is>
      </c>
      <c r="J4" s="4" t="n"/>
    </row>
    <row r="5">
      <c r="A5" s="7" t="n">
        <v>1180000</v>
      </c>
      <c r="B5" s="4" t="n"/>
      <c r="C5" s="8" t="inlineStr">
        <is>
          <t>Amarillo</t>
        </is>
      </c>
      <c r="D5" s="6" t="n"/>
      <c r="E5" s="9" t="n">
        <v>18</v>
      </c>
      <c r="F5" s="4" t="n"/>
      <c r="G5" s="9" t="n">
        <v>14</v>
      </c>
      <c r="H5" s="4" t="n"/>
      <c r="I5" s="10" t="inlineStr">
        <is>
          <t>Multi</t>
        </is>
      </c>
      <c r="J5" s="4" t="n"/>
    </row>
    <row r="6">
      <c r="A6" s="11" t="inlineStr">
        <is>
          <t>Contratista B</t>
        </is>
      </c>
      <c r="B6" s="4" t="n"/>
      <c r="C6" s="12" t="inlineStr">
        <is>
          <t>Con advertencias</t>
        </is>
      </c>
      <c r="D6" s="6" t="n"/>
      <c r="E6" s="11" t="inlineStr">
        <is>
          <t>Prioridad alta/media</t>
        </is>
      </c>
      <c r="F6" s="4" t="n"/>
      <c r="G6" s="11" t="inlineStr">
        <is>
          <t>Revisar alcance</t>
        </is>
      </c>
      <c r="H6" s="4" t="n"/>
      <c r="I6" s="11" t="inlineStr">
        <is>
          <t>V0 mock</t>
        </is>
      </c>
      <c r="J6" s="4" t="n"/>
    </row>
    <row r="9" ht="22" customHeight="1">
      <c r="A9" s="13" t="inlineStr">
        <is>
          <t>Ranking económico</t>
        </is>
      </c>
    </row>
    <row r="10" ht="36" customHeight="1">
      <c r="A10" s="14" t="inlineStr">
        <is>
          <t>Posición</t>
        </is>
      </c>
      <c r="B10" s="14" t="inlineStr">
        <is>
          <t>Contratista</t>
        </is>
      </c>
      <c r="C10" s="14" t="inlineStr">
        <is>
          <t>Monto total</t>
        </is>
      </c>
      <c r="D10" s="14" t="inlineStr">
        <is>
          <t>Dif. vs menor</t>
        </is>
      </c>
      <c r="E10" s="14" t="inlineStr">
        <is>
          <t>Desv. promedio</t>
        </is>
      </c>
      <c r="F10" s="14" t="inlineStr">
        <is>
          <t>Riesgo</t>
        </is>
      </c>
      <c r="G10" s="14" t="inlineStr">
        <is>
          <t>Semáforo</t>
        </is>
      </c>
    </row>
    <row r="11">
      <c r="A11" s="15" t="n">
        <v>1</v>
      </c>
      <c r="B11" s="15" t="inlineStr">
        <is>
          <t>Contratista B</t>
        </is>
      </c>
      <c r="C11" s="16" t="n">
        <v>1180000</v>
      </c>
      <c r="D11" s="17" t="n">
        <v>0</v>
      </c>
      <c r="E11" s="17" t="n">
        <v>-0.078</v>
      </c>
      <c r="F11" s="18" t="inlineStr">
        <is>
          <t>Bajo</t>
        </is>
      </c>
      <c r="G11" s="19" t="inlineStr">
        <is>
          <t>Verde</t>
        </is>
      </c>
    </row>
    <row r="12">
      <c r="A12" s="20" t="n">
        <v>2</v>
      </c>
      <c r="B12" s="20" t="inlineStr">
        <is>
          <t>Contratista A</t>
        </is>
      </c>
      <c r="C12" s="21" t="n">
        <v>1250000</v>
      </c>
      <c r="D12" s="22" t="n">
        <v>0.059</v>
      </c>
      <c r="E12" s="22" t="n">
        <v>0.024</v>
      </c>
      <c r="F12" s="20" t="inlineStr">
        <is>
          <t>Medio</t>
        </is>
      </c>
      <c r="G12" s="20" t="inlineStr">
        <is>
          <t>Amarillo</t>
        </is>
      </c>
    </row>
    <row r="13">
      <c r="A13" s="15" t="n">
        <v>3</v>
      </c>
      <c r="B13" s="15" t="inlineStr">
        <is>
          <t>Contratista C</t>
        </is>
      </c>
      <c r="C13" s="16" t="n">
        <v>1410000</v>
      </c>
      <c r="D13" s="17" t="n">
        <v>0.195</v>
      </c>
      <c r="E13" s="17" t="n">
        <v>0.143</v>
      </c>
      <c r="F13" s="23" t="inlineStr">
        <is>
          <t>Alto</t>
        </is>
      </c>
      <c r="G13" s="23" t="inlineStr">
        <is>
          <t>Rojo</t>
        </is>
      </c>
    </row>
    <row r="16" ht="22" customHeight="1">
      <c r="A16" s="13" t="inlineStr">
        <is>
          <t>Hallazgos y recomendaciones</t>
        </is>
      </c>
    </row>
    <row r="17" ht="30" customHeight="1">
      <c r="A17" s="24" t="inlineStr">
        <is>
          <t>Hallazgo</t>
        </is>
      </c>
      <c r="B17" s="25" t="inlineStr">
        <is>
          <t>Cinco partidas explican la mayor parte de la diferencia económica entre contratistas.</t>
        </is>
      </c>
      <c r="C17" s="25" t="n"/>
      <c r="D17" s="25" t="n"/>
      <c r="E17" s="25" t="n"/>
      <c r="F17" s="25" t="n"/>
      <c r="G17" s="25" t="n"/>
      <c r="H17" s="25" t="n"/>
      <c r="I17" s="25" t="n"/>
      <c r="J17" s="25" t="n"/>
    </row>
    <row r="18" ht="30" customHeight="1">
      <c r="A18" s="24" t="inlineStr">
        <is>
          <t>Riesgo</t>
        </is>
      </c>
      <c r="B18" s="25" t="inlineStr">
        <is>
          <t>Existen insumos y porcentajes de referencia que deben verificarse en Detalle APU antes de negociar.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</row>
    <row r="19" ht="30" customHeight="1">
      <c r="A19" s="24" t="inlineStr">
        <is>
          <t>Recomendación</t>
        </is>
      </c>
      <c r="B19" s="25" t="inlineStr">
        <is>
          <t>Priorizar revisión por impacto económico, no solo por desviación porcentual.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n"/>
    </row>
    <row r="20" ht="30" customHeight="1">
      <c r="A20" s="24" t="inlineStr">
        <is>
          <t>Limitación</t>
        </is>
      </c>
      <c r="B20" s="25" t="inlineStr">
        <is>
          <t>V0 usa datos mockeados; V1 debe leer la matriz/APU real de cada contratista.</t>
        </is>
      </c>
      <c r="C20" s="25" t="n"/>
      <c r="D20" s="25" t="n"/>
      <c r="E20" s="25" t="n"/>
      <c r="F20" s="25" t="n"/>
      <c r="G20" s="25" t="n"/>
      <c r="H20" s="25" t="n"/>
      <c r="I20" s="25" t="n"/>
      <c r="J20" s="25" t="n"/>
    </row>
    <row r="23" ht="22" customHeight="1">
      <c r="A23" s="13" t="inlineStr">
        <is>
          <t>Navegación</t>
        </is>
      </c>
    </row>
    <row r="24">
      <c r="A24" s="26" t="inlineStr">
        <is>
          <t>Comparativa</t>
        </is>
      </c>
      <c r="B24" s="26" t="inlineStr">
        <is>
          <t>Detalle APU</t>
        </is>
      </c>
      <c r="C24" s="26" t="inlineStr">
        <is>
          <t>Partidas Críticas</t>
        </is>
      </c>
      <c r="D24" s="26" t="inlineStr">
        <is>
          <t>Insumos Críticos</t>
        </is>
      </c>
      <c r="E24" s="26" t="inlineStr">
        <is>
          <t>Validaciones</t>
        </is>
      </c>
      <c r="F24" s="26" t="inlineStr">
        <is>
          <t>Parámetros</t>
        </is>
      </c>
    </row>
  </sheetData>
  <mergeCells count="24">
    <mergeCell ref="A23:J23"/>
    <mergeCell ref="C6:D6"/>
    <mergeCell ref="I6:J6"/>
    <mergeCell ref="C5:D5"/>
    <mergeCell ref="E5:F5"/>
    <mergeCell ref="B17:J17"/>
    <mergeCell ref="A6:B6"/>
    <mergeCell ref="C4:D4"/>
    <mergeCell ref="E4:F4"/>
    <mergeCell ref="B19:J19"/>
    <mergeCell ref="A9:J9"/>
    <mergeCell ref="G6:H6"/>
    <mergeCell ref="A1:J1"/>
    <mergeCell ref="E6:F6"/>
    <mergeCell ref="B20:J20"/>
    <mergeCell ref="A5:B5"/>
    <mergeCell ref="G5:H5"/>
    <mergeCell ref="I5:J5"/>
    <mergeCell ref="A16:J16"/>
    <mergeCell ref="A4:B4"/>
    <mergeCell ref="G4:H4"/>
    <mergeCell ref="I4:J4"/>
    <mergeCell ref="B18:J18"/>
    <mergeCell ref="A2:J2"/>
  </mergeCells>
  <hyperlinks>
    <hyperlink xmlns:r="http://schemas.openxmlformats.org/officeDocument/2006/relationships" ref="A24" r:id="rId1"/>
    <hyperlink xmlns:r="http://schemas.openxmlformats.org/officeDocument/2006/relationships" ref="B24" r:id="rId2"/>
    <hyperlink xmlns:r="http://schemas.openxmlformats.org/officeDocument/2006/relationships" ref="C24" r:id="rId3"/>
    <hyperlink xmlns:r="http://schemas.openxmlformats.org/officeDocument/2006/relationships" ref="D24" r:id="rId4"/>
    <hyperlink xmlns:r="http://schemas.openxmlformats.org/officeDocument/2006/relationships" ref="E24" r:id="rId5"/>
    <hyperlink xmlns:r="http://schemas.openxmlformats.org/officeDocument/2006/relationships" ref="F24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1" customWidth="1" min="4" max="4"/>
    <col width="11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2" customWidth="1" min="12" max="12"/>
    <col width="16" customWidth="1" min="13" max="13"/>
    <col width="12" customWidth="1" min="14" max="14"/>
    <col width="16" customWidth="1" min="15" max="15"/>
    <col width="30" customWidth="1" min="16" max="16"/>
  </cols>
  <sheetData>
    <row r="1" ht="24" customHeight="1">
      <c r="A1" s="1" t="inlineStr">
        <is>
          <t>Comparativa</t>
        </is>
      </c>
    </row>
    <row r="2" ht="34" customHeight="1">
      <c r="A2" s="2" t="inlineStr">
        <is>
          <t>Tabla económica principal. Vista normalizada, filtrable y auditable por partida/contratista.</t>
        </is>
      </c>
    </row>
    <row r="5" ht="36" customHeight="1">
      <c r="A5" s="14" t="inlineStr">
        <is>
          <t>Partida</t>
        </is>
      </c>
      <c r="B5" s="14" t="inlineStr">
        <is>
          <t>Descripción</t>
        </is>
      </c>
      <c r="C5" s="14" t="inlineStr">
        <is>
          <t>Familia</t>
        </is>
      </c>
      <c r="D5" s="14" t="inlineStr">
        <is>
          <t>Unidad</t>
        </is>
      </c>
      <c r="E5" s="14" t="inlineStr">
        <is>
          <t>Cantidad</t>
        </is>
      </c>
      <c r="F5" s="14" t="inlineStr">
        <is>
          <t>Contratista</t>
        </is>
      </c>
      <c r="G5" s="14" t="inlineStr">
        <is>
          <t>P.U. ofertado</t>
        </is>
      </c>
      <c r="H5" s="14" t="inlineStr">
        <is>
          <t>Importe ofertado</t>
        </is>
      </c>
      <c r="I5" s="14" t="inlineStr">
        <is>
          <t>P.U. referencia</t>
        </is>
      </c>
      <c r="J5" s="14" t="inlineStr">
        <is>
          <t>Importe referencia</t>
        </is>
      </c>
      <c r="K5" s="14" t="inlineStr">
        <is>
          <t>Diferencia</t>
        </is>
      </c>
      <c r="L5" s="14" t="inlineStr">
        <is>
          <t>Desviación %</t>
        </is>
      </c>
      <c r="M5" s="14" t="inlineStr">
        <is>
          <t>Impacto</t>
        </is>
      </c>
      <c r="N5" s="14" t="inlineStr">
        <is>
          <t>Peso %</t>
        </is>
      </c>
      <c r="O5" s="14" t="inlineStr">
        <is>
          <t>Estado</t>
        </is>
      </c>
      <c r="P5" s="14" t="inlineStr">
        <is>
          <t>Observación</t>
        </is>
      </c>
    </row>
    <row r="6">
      <c r="A6" s="20" t="inlineStr">
        <is>
          <t>FLEX41.11</t>
        </is>
      </c>
      <c r="B6" s="20" t="inlineStr">
        <is>
          <t>Instalación de bomba centrífuga</t>
        </is>
      </c>
      <c r="C6" s="20" t="inlineStr">
        <is>
          <t>Mecánica</t>
        </is>
      </c>
      <c r="D6" s="20" t="inlineStr">
        <is>
          <t>PZA</t>
        </is>
      </c>
      <c r="E6" s="27" t="n">
        <v>1</v>
      </c>
      <c r="F6" s="20" t="inlineStr">
        <is>
          <t>Contratista A</t>
        </is>
      </c>
      <c r="G6" s="21" t="n">
        <v>31524.55</v>
      </c>
      <c r="H6" s="21">
        <f>E6*G6</f>
        <v/>
      </c>
      <c r="I6" s="21" t="n">
        <v>6020.4</v>
      </c>
      <c r="J6" s="21">
        <f>E6*I6</f>
        <v/>
      </c>
      <c r="K6" s="21">
        <f>H6-J6</f>
        <v/>
      </c>
      <c r="L6" s="22">
        <f>K6/J6</f>
        <v/>
      </c>
      <c r="M6" s="21">
        <f>MAX(K6,0)</f>
        <v/>
      </c>
      <c r="N6" s="22">
        <f>H6/SUM($H$6:$H$14)</f>
        <v/>
      </c>
      <c r="O6" s="20" t="inlineStr">
        <is>
          <t>Sobrecosto</t>
        </is>
      </c>
      <c r="P6" s="20" t="inlineStr">
        <is>
          <t>Validar alcance y matriz APU</t>
        </is>
      </c>
    </row>
    <row r="7">
      <c r="A7" s="15" t="inlineStr">
        <is>
          <t>FLEX41.12</t>
        </is>
      </c>
      <c r="B7" s="15" t="inlineStr">
        <is>
          <t>Guarda protectora para bomba</t>
        </is>
      </c>
      <c r="C7" s="15" t="inlineStr">
        <is>
          <t>Mecánica</t>
        </is>
      </c>
      <c r="D7" s="15" t="inlineStr">
        <is>
          <t>PZA</t>
        </is>
      </c>
      <c r="E7" s="28" t="n">
        <v>1</v>
      </c>
      <c r="F7" s="15" t="inlineStr">
        <is>
          <t>Contratista A</t>
        </is>
      </c>
      <c r="G7" s="16" t="n">
        <v>24937.16</v>
      </c>
      <c r="H7" s="16">
        <f>E7*G7</f>
        <v/>
      </c>
      <c r="I7" s="16" t="n">
        <v>6020.4</v>
      </c>
      <c r="J7" s="16">
        <f>E7*I7</f>
        <v/>
      </c>
      <c r="K7" s="16">
        <f>H7-J7</f>
        <v/>
      </c>
      <c r="L7" s="17">
        <f>K7/J7</f>
        <v/>
      </c>
      <c r="M7" s="16">
        <f>MAX(K7,0)</f>
        <v/>
      </c>
      <c r="N7" s="17">
        <f>H7/SUM($H$6:$H$14)</f>
        <v/>
      </c>
      <c r="O7" s="15" t="inlineStr">
        <is>
          <t>Sobrecosto</t>
        </is>
      </c>
      <c r="P7" s="15" t="inlineStr">
        <is>
          <t>Revisar precio unitario</t>
        </is>
      </c>
    </row>
    <row r="8">
      <c r="A8" s="20" t="inlineStr">
        <is>
          <t>FLEX41.29</t>
        </is>
      </c>
      <c r="B8" s="20" t="inlineStr">
        <is>
          <t>Tubería sanitaria acero inoxidable 316L 3 pulgadas</t>
        </is>
      </c>
      <c r="C8" s="20" t="inlineStr">
        <is>
          <t>Tubería</t>
        </is>
      </c>
      <c r="D8" s="20" t="inlineStr">
        <is>
          <t>M</t>
        </is>
      </c>
      <c r="E8" s="27" t="n">
        <v>41</v>
      </c>
      <c r="F8" s="20" t="inlineStr">
        <is>
          <t>Contratista A</t>
        </is>
      </c>
      <c r="G8" s="21" t="n">
        <v>3496.73</v>
      </c>
      <c r="H8" s="21">
        <f>E8*G8</f>
        <v/>
      </c>
      <c r="I8" s="21" t="n">
        <v>6020.4</v>
      </c>
      <c r="J8" s="21">
        <f>E8*I8</f>
        <v/>
      </c>
      <c r="K8" s="21">
        <f>H8-J8</f>
        <v/>
      </c>
      <c r="L8" s="22">
        <f>K8/J8</f>
        <v/>
      </c>
      <c r="M8" s="21">
        <f>MAX(K8,0)</f>
        <v/>
      </c>
      <c r="N8" s="22">
        <f>H8/SUM($H$6:$H$14)</f>
        <v/>
      </c>
      <c r="O8" s="20" t="inlineStr">
        <is>
          <t>Bajo mercado</t>
        </is>
      </c>
      <c r="P8" s="20" t="inlineStr">
        <is>
          <t>Confirmar que no haya omisión de alcance</t>
        </is>
      </c>
    </row>
    <row r="9">
      <c r="A9" s="15" t="inlineStr">
        <is>
          <t>FLEX41.40</t>
        </is>
      </c>
      <c r="B9" s="15" t="inlineStr">
        <is>
          <t>Tubería sanitaria acero inoxidable 316L 2 1/2 pulgadas</t>
        </is>
      </c>
      <c r="C9" s="15" t="inlineStr">
        <is>
          <t>Tubería</t>
        </is>
      </c>
      <c r="D9" s="15" t="inlineStr">
        <is>
          <t>M</t>
        </is>
      </c>
      <c r="E9" s="28" t="n">
        <v>38</v>
      </c>
      <c r="F9" s="15" t="inlineStr">
        <is>
          <t>Contratista B</t>
        </is>
      </c>
      <c r="G9" s="16" t="n">
        <v>3496.73</v>
      </c>
      <c r="H9" s="16">
        <f>E9*G9</f>
        <v/>
      </c>
      <c r="I9" s="16" t="n">
        <v>6020.4</v>
      </c>
      <c r="J9" s="16">
        <f>E9*I9</f>
        <v/>
      </c>
      <c r="K9" s="16">
        <f>H9-J9</f>
        <v/>
      </c>
      <c r="L9" s="17">
        <f>K9/J9</f>
        <v/>
      </c>
      <c r="M9" s="16">
        <f>MAX(K9,0)</f>
        <v/>
      </c>
      <c r="N9" s="17">
        <f>H9/SUM($H$6:$H$14)</f>
        <v/>
      </c>
      <c r="O9" s="15" t="inlineStr">
        <is>
          <t>Bajo mercado</t>
        </is>
      </c>
      <c r="P9" s="15" t="inlineStr">
        <is>
          <t>Validar especificación técnica</t>
        </is>
      </c>
    </row>
    <row r="10">
      <c r="A10" s="20" t="inlineStr">
        <is>
          <t>FLEX41.62</t>
        </is>
      </c>
      <c r="B10" s="20" t="inlineStr">
        <is>
          <t>Ensayo de boroscopia en tuberías</t>
        </is>
      </c>
      <c r="C10" s="20" t="inlineStr">
        <is>
          <t>Ensayos</t>
        </is>
      </c>
      <c r="D10" s="20" t="inlineStr">
        <is>
          <t>SERV</t>
        </is>
      </c>
      <c r="E10" s="27" t="n">
        <v>1</v>
      </c>
      <c r="F10" s="20" t="inlineStr">
        <is>
          <t>Contratista C</t>
        </is>
      </c>
      <c r="G10" s="21" t="n">
        <v>75226.36</v>
      </c>
      <c r="H10" s="21">
        <f>E10*G10</f>
        <v/>
      </c>
      <c r="I10" s="21" t="n">
        <v>6020.4</v>
      </c>
      <c r="J10" s="21">
        <f>E10*I10</f>
        <v/>
      </c>
      <c r="K10" s="21">
        <f>H10-J10</f>
        <v/>
      </c>
      <c r="L10" s="22">
        <f>K10/J10</f>
        <v/>
      </c>
      <c r="M10" s="21">
        <f>MAX(K10,0)</f>
        <v/>
      </c>
      <c r="N10" s="22">
        <f>H10/SUM($H$6:$H$14)</f>
        <v/>
      </c>
      <c r="O10" s="20" t="inlineStr">
        <is>
          <t>Sobrecosto</t>
        </is>
      </c>
      <c r="P10" s="20" t="inlineStr">
        <is>
          <t>Negociar o justificar servicio</t>
        </is>
      </c>
    </row>
    <row r="11">
      <c r="A11" s="15" t="inlineStr">
        <is>
          <t>CIV-001</t>
        </is>
      </c>
      <c r="B11" s="15" t="inlineStr">
        <is>
          <t>Concreto f'c 250</t>
        </is>
      </c>
      <c r="C11" s="15" t="inlineStr">
        <is>
          <t>Concreto</t>
        </is>
      </c>
      <c r="D11" s="15" t="inlineStr">
        <is>
          <t>m3</t>
        </is>
      </c>
      <c r="E11" s="28" t="n">
        <v>40</v>
      </c>
      <c r="F11" s="15" t="inlineStr">
        <is>
          <t>Contratista C</t>
        </is>
      </c>
      <c r="G11" s="16" t="n">
        <v>2850000</v>
      </c>
      <c r="H11" s="16">
        <f>E11*G11</f>
        <v/>
      </c>
      <c r="I11" s="16" t="n">
        <v>2300000</v>
      </c>
      <c r="J11" s="16">
        <f>E11*I11</f>
        <v/>
      </c>
      <c r="K11" s="16">
        <f>H11-J11</f>
        <v/>
      </c>
      <c r="L11" s="17">
        <f>K11/J11</f>
        <v/>
      </c>
      <c r="M11" s="16">
        <f>MAX(K11,0)</f>
        <v/>
      </c>
      <c r="N11" s="17">
        <f>H11/SUM($H$6:$H$14)</f>
        <v/>
      </c>
      <c r="O11" s="15" t="inlineStr">
        <is>
          <t>Sobrecosto</t>
        </is>
      </c>
      <c r="P11" s="15" t="inlineStr">
        <is>
          <t>Alto impacto</t>
        </is>
      </c>
    </row>
    <row r="12">
      <c r="A12" s="20" t="inlineStr">
        <is>
          <t>CIV-002</t>
        </is>
      </c>
      <c r="B12" s="20" t="inlineStr">
        <is>
          <t>Acero de refuerzo</t>
        </is>
      </c>
      <c r="C12" s="20" t="inlineStr">
        <is>
          <t>Acero</t>
        </is>
      </c>
      <c r="D12" s="20" t="inlineStr">
        <is>
          <t>kg</t>
        </is>
      </c>
      <c r="E12" s="27" t="n">
        <v>1800</v>
      </c>
      <c r="F12" s="20" t="inlineStr">
        <is>
          <t>Contratista A</t>
        </is>
      </c>
      <c r="G12" s="21" t="n">
        <v>42000</v>
      </c>
      <c r="H12" s="21">
        <f>E12*G12</f>
        <v/>
      </c>
      <c r="I12" s="21" t="n">
        <v>35000</v>
      </c>
      <c r="J12" s="21">
        <f>E12*I12</f>
        <v/>
      </c>
      <c r="K12" s="21">
        <f>H12-J12</f>
        <v/>
      </c>
      <c r="L12" s="22">
        <f>K12/J12</f>
        <v/>
      </c>
      <c r="M12" s="21">
        <f>MAX(K12,0)</f>
        <v/>
      </c>
      <c r="N12" s="22">
        <f>H12/SUM($H$6:$H$14)</f>
        <v/>
      </c>
      <c r="O12" s="20" t="inlineStr">
        <is>
          <t>Sobrecosto</t>
        </is>
      </c>
      <c r="P12" s="20" t="inlineStr">
        <is>
          <t>Revisar insumo base</t>
        </is>
      </c>
    </row>
    <row r="13">
      <c r="A13" s="15" t="inlineStr">
        <is>
          <t>ELE-001</t>
        </is>
      </c>
      <c r="B13" s="15" t="inlineStr">
        <is>
          <t>Luminarias LED</t>
        </is>
      </c>
      <c r="C13" s="15" t="inlineStr">
        <is>
          <t>Instalaciones</t>
        </is>
      </c>
      <c r="D13" s="15" t="inlineStr">
        <is>
          <t>pza</t>
        </is>
      </c>
      <c r="E13" s="28" t="n">
        <v>35</v>
      </c>
      <c r="F13" s="15" t="inlineStr">
        <is>
          <t>Contratista C</t>
        </is>
      </c>
      <c r="G13" s="16" t="n">
        <v>1200000</v>
      </c>
      <c r="H13" s="16">
        <f>E13*G13</f>
        <v/>
      </c>
      <c r="I13" s="16" t="n">
        <v>980000</v>
      </c>
      <c r="J13" s="16">
        <f>E13*I13</f>
        <v/>
      </c>
      <c r="K13" s="16">
        <f>H13-J13</f>
        <v/>
      </c>
      <c r="L13" s="17">
        <f>K13/J13</f>
        <v/>
      </c>
      <c r="M13" s="16">
        <f>MAX(K13,0)</f>
        <v/>
      </c>
      <c r="N13" s="17">
        <f>H13/SUM($H$6:$H$14)</f>
        <v/>
      </c>
      <c r="O13" s="15" t="inlineStr">
        <is>
          <t>Sobrecosto</t>
        </is>
      </c>
      <c r="P13" s="15" t="inlineStr">
        <is>
          <t>Solicitar ficha técnica</t>
        </is>
      </c>
    </row>
    <row r="14">
      <c r="A14" s="20" t="inlineStr">
        <is>
          <t>GEN-001</t>
        </is>
      </c>
      <c r="B14" s="20" t="inlineStr">
        <is>
          <t>Partida sin referencia directa</t>
        </is>
      </c>
      <c r="C14" s="20" t="inlineStr">
        <is>
          <t>Especial</t>
        </is>
      </c>
      <c r="D14" s="20" t="inlineStr">
        <is>
          <t>gl</t>
        </is>
      </c>
      <c r="E14" s="27" t="n">
        <v>1</v>
      </c>
      <c r="F14" s="20" t="inlineStr">
        <is>
          <t>Contratista B</t>
        </is>
      </c>
      <c r="G14" s="21" t="n">
        <v>15000000</v>
      </c>
      <c r="H14" s="21">
        <f>E14*G14</f>
        <v/>
      </c>
      <c r="I14" s="21" t="n">
        <v>0</v>
      </c>
      <c r="J14" s="21">
        <f>E14*I14</f>
        <v/>
      </c>
      <c r="K14" s="21">
        <f>IF(I14=0,0,H14-J14)</f>
        <v/>
      </c>
      <c r="L14" s="22">
        <f>IF(I14=0,0,K14/J14)</f>
        <v/>
      </c>
      <c r="M14" s="21">
        <f>IF(I14=0,H14,MAX(K14,0))</f>
        <v/>
      </c>
      <c r="N14" s="22">
        <f>H14/SUM($H$6:$H$14)</f>
        <v/>
      </c>
      <c r="O14" s="20" t="inlineStr">
        <is>
          <t>Sin referencia</t>
        </is>
      </c>
      <c r="P14" s="20" t="inlineStr">
        <is>
          <t>Requiere cotización externa</t>
        </is>
      </c>
    </row>
    <row r="16">
      <c r="A16" s="29" t="inlineStr">
        <is>
          <t>Regla canónica</t>
        </is>
      </c>
    </row>
    <row r="17">
      <c r="A17" s="30" t="inlineStr">
        <is>
          <t>Comparativa resume importes y desviaciones. El Detalle APU explica de dónde viene cada precio desde la matriz propia del contratista.</t>
        </is>
      </c>
    </row>
  </sheetData>
  <autoFilter ref="A5:P14"/>
  <mergeCells count="3">
    <mergeCell ref="A1:P1"/>
    <mergeCell ref="A17:P17"/>
    <mergeCell ref="A2:P2"/>
  </mergeCells>
  <conditionalFormatting sqref="L6:L14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conditionalFormatting sqref="M6:M14">
    <cfRule type="dataBar" priority="2">
      <dataBar showValue="1">
        <cfvo type="num" val="0"/>
        <cfvo type="max"/>
        <color rgb="005B9BD5"/>
      </dataBar>
    </cfRule>
  </conditionalFormatting>
  <conditionalFormatting sqref="O6:O14">
    <cfRule type="expression" priority="3" dxfId="0">
      <formula>$O6="Sobrecosto"</formula>
    </cfRule>
    <cfRule type="expression" priority="4" dxfId="1">
      <formula>$O6="Bajo mercado"</formula>
    </cfRule>
    <cfRule type="expression" priority="5" dxfId="2">
      <formula>$O6="Sin referencia"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R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38" customWidth="1" min="4" max="4"/>
    <col width="12" customWidth="1" min="5" max="5"/>
    <col width="10" customWidth="1" min="6" max="6"/>
    <col width="13" customWidth="1" min="7" max="7"/>
    <col width="16" customWidth="1" min="8" max="8"/>
    <col width="18" customWidth="1" min="9" max="9"/>
    <col width="16" customWidth="1" min="10" max="10"/>
    <col width="16" customWidth="1" min="11" max="11"/>
    <col width="14" customWidth="1" min="12" max="12"/>
    <col width="14" customWidth="1" min="13" max="13"/>
    <col width="18" customWidth="1" min="14" max="14"/>
    <col width="18" customWidth="1" min="15" max="15"/>
    <col width="16" customWidth="1" min="16" max="16"/>
    <col width="18" customWidth="1" min="17" max="17"/>
    <col width="34" customWidth="1" min="18" max="18"/>
  </cols>
  <sheetData>
    <row r="1" ht="24" customHeight="1">
      <c r="A1" s="1" t="inlineStr">
        <is>
          <t>Detalle APU</t>
        </is>
      </c>
    </row>
    <row r="2" ht="34" customHeight="1">
      <c r="A2" s="2" t="inlineStr">
        <is>
          <t>Reconstrucción ordenada de la matriz/APU del contratista, enriquecida con referencias granulares de data.</t>
        </is>
      </c>
    </row>
    <row r="5" ht="36" customHeight="1">
      <c r="A5" s="14" t="inlineStr">
        <is>
          <t>Contratista</t>
        </is>
      </c>
      <c r="B5" s="14" t="inlineStr">
        <is>
          <t>Partida</t>
        </is>
      </c>
      <c r="C5" s="14" t="inlineStr">
        <is>
          <t>Bloque APU</t>
        </is>
      </c>
      <c r="D5" s="14" t="inlineStr">
        <is>
          <t>Concepto / insumo</t>
        </is>
      </c>
      <c r="E5" s="14" t="inlineStr">
        <is>
          <t>Unidad</t>
        </is>
      </c>
      <c r="F5" s="14" t="inlineStr">
        <is>
          <t>Op.</t>
        </is>
      </c>
      <c r="G5" s="14" t="inlineStr">
        <is>
          <t>Cantidad</t>
        </is>
      </c>
      <c r="H5" s="14" t="inlineStr">
        <is>
          <t>P.U. contratista</t>
        </is>
      </c>
      <c r="I5" s="14" t="inlineStr">
        <is>
          <t>Importe contratista</t>
        </is>
      </c>
      <c r="J5" s="14" t="inlineStr">
        <is>
          <t>P.U. referencia</t>
        </is>
      </c>
      <c r="K5" s="14" t="inlineStr">
        <is>
          <t>Importe referencia</t>
        </is>
      </c>
      <c r="L5" s="14" t="inlineStr">
        <is>
          <t>Diferencia</t>
        </is>
      </c>
      <c r="M5" s="14" t="inlineStr">
        <is>
          <t>Desv. %</t>
        </is>
      </c>
      <c r="N5" s="14" t="inlineStr">
        <is>
          <t>Fuente referencia</t>
        </is>
      </c>
      <c r="O5" s="14" t="inlineStr">
        <is>
          <t>Estado match</t>
        </is>
      </c>
      <c r="P5" s="14" t="inlineStr">
        <is>
          <t>Tipo fila</t>
        </is>
      </c>
      <c r="Q5" s="14" t="inlineStr">
        <is>
          <t>Alerta</t>
        </is>
      </c>
      <c r="R5" s="14" t="inlineStr">
        <is>
          <t>Regla / observación</t>
        </is>
      </c>
    </row>
    <row r="6">
      <c r="A6" s="31" t="inlineStr">
        <is>
          <t>Contratista A</t>
        </is>
      </c>
      <c r="B6" s="31" t="inlineStr">
        <is>
          <t>FLEX41.11</t>
        </is>
      </c>
      <c r="C6" s="31" t="inlineStr">
        <is>
          <t>PARTIDA</t>
        </is>
      </c>
      <c r="D6" s="31" t="inlineStr">
        <is>
          <t>Instalación de bomba centrífuga</t>
        </is>
      </c>
      <c r="E6" s="31" t="inlineStr">
        <is>
          <t>PZA</t>
        </is>
      </c>
      <c r="F6" s="31" t="inlineStr">
        <is>
          <t>*</t>
        </is>
      </c>
      <c r="G6" s="32" t="n">
        <v>1</v>
      </c>
      <c r="H6" s="33" t="n">
        <v>31524.55</v>
      </c>
      <c r="I6" s="33">
        <f>G6*H6</f>
        <v/>
      </c>
      <c r="J6" s="33" t="n">
        <v>6020.4</v>
      </c>
      <c r="K6" s="33">
        <f>G6*J6</f>
        <v/>
      </c>
      <c r="L6" s="33">
        <f>I6-K6</f>
        <v/>
      </c>
      <c r="M6" s="32">
        <f>IF(K6=0,0,L6/K6)</f>
        <v/>
      </c>
      <c r="N6" s="31" t="inlineStr">
        <is>
          <t>Comparativa</t>
        </is>
      </c>
      <c r="O6" s="31" t="inlineStr">
        <is>
          <t>Leído</t>
        </is>
      </c>
      <c r="P6" s="31" t="inlineStr">
        <is>
          <t>PARTIDA</t>
        </is>
      </c>
      <c r="Q6" s="31" t="inlineStr">
        <is>
          <t>Revisar</t>
        </is>
      </c>
      <c r="R6" s="31" t="inlineStr">
        <is>
          <t>Partida principal leída desde archivo del contratista</t>
        </is>
      </c>
    </row>
    <row r="7" outlineLevel="1">
      <c r="A7" s="34" t="inlineStr">
        <is>
          <t>Contratista A</t>
        </is>
      </c>
      <c r="B7" s="34" t="inlineStr">
        <is>
          <t>FLEX41.11</t>
        </is>
      </c>
      <c r="C7" s="34" t="inlineStr">
        <is>
          <t>MATERIALES</t>
        </is>
      </c>
      <c r="D7" s="34" t="inlineStr">
        <is>
          <t>Consumibles para corte y soldadura</t>
        </is>
      </c>
      <c r="E7" s="34" t="inlineStr">
        <is>
          <t>%</t>
        </is>
      </c>
      <c r="F7" s="34" t="inlineStr">
        <is>
          <t>%</t>
        </is>
      </c>
      <c r="G7" s="35" t="n">
        <v>0.08</v>
      </c>
      <c r="H7" s="36" t="n">
        <v>22453.38</v>
      </c>
      <c r="I7" s="36">
        <f>G7*H7</f>
        <v/>
      </c>
      <c r="J7" s="36" t="n">
        <v>22453.38</v>
      </c>
      <c r="K7" s="36">
        <f>G7*J7</f>
        <v/>
      </c>
      <c r="L7" s="36">
        <f>I7-K7</f>
        <v/>
      </c>
      <c r="M7" s="35">
        <f>IF(K7=0,0,L7/K7)</f>
        <v/>
      </c>
      <c r="N7" s="34" t="inlineStr">
        <is>
          <t>data/materiales</t>
        </is>
      </c>
      <c r="O7" s="34" t="inlineStr">
        <is>
          <t>Match medio</t>
        </is>
      </c>
      <c r="P7" s="34" t="inlineStr">
        <is>
          <t>INSUMO</t>
        </is>
      </c>
      <c r="Q7" s="34" t="inlineStr">
        <is>
          <t>OK</t>
        </is>
      </c>
      <c r="R7" s="34" t="inlineStr">
        <is>
          <t>Porcentaje sobre base de materiales</t>
        </is>
      </c>
    </row>
    <row r="8" outlineLevel="1">
      <c r="A8" s="34" t="inlineStr">
        <is>
          <t>Contratista A</t>
        </is>
      </c>
      <c r="B8" s="34" t="inlineStr">
        <is>
          <t>FLEX41.11</t>
        </is>
      </c>
      <c r="C8" s="34" t="inlineStr">
        <is>
          <t>MANO DE OBRA</t>
        </is>
      </c>
      <c r="D8" s="34" t="inlineStr">
        <is>
          <t>Supervisor Obra</t>
        </is>
      </c>
      <c r="E8" s="34" t="inlineStr">
        <is>
          <t>JOR</t>
        </is>
      </c>
      <c r="F8" s="34" t="inlineStr">
        <is>
          <t>*</t>
        </is>
      </c>
      <c r="G8" s="35" t="n">
        <v>0.1</v>
      </c>
      <c r="H8" s="36" t="n">
        <v>2643.19</v>
      </c>
      <c r="I8" s="36">
        <f>G8*H8</f>
        <v/>
      </c>
      <c r="J8" s="36" t="n">
        <v>1757.33</v>
      </c>
      <c r="K8" s="36">
        <f>G8*J8</f>
        <v/>
      </c>
      <c r="L8" s="36">
        <f>I8-K8</f>
        <v/>
      </c>
      <c r="M8" s="35">
        <f>IF(K8=0,0,L8/K8)</f>
        <v/>
      </c>
      <c r="N8" s="34" t="inlineStr">
        <is>
          <t>data/mano_obra</t>
        </is>
      </c>
      <c r="O8" s="34" t="inlineStr">
        <is>
          <t>Match alto</t>
        </is>
      </c>
      <c r="P8" s="34" t="inlineStr">
        <is>
          <t>INSUMO</t>
        </is>
      </c>
      <c r="Q8" s="34" t="inlineStr">
        <is>
          <t>Revisar</t>
        </is>
      </c>
      <c r="R8" s="34" t="inlineStr">
        <is>
          <t>Precio MO superior a referencia</t>
        </is>
      </c>
    </row>
    <row r="9" outlineLevel="1">
      <c r="A9" s="34" t="inlineStr">
        <is>
          <t>Contratista A</t>
        </is>
      </c>
      <c r="B9" s="34" t="inlineStr">
        <is>
          <t>FLEX41.11</t>
        </is>
      </c>
      <c r="C9" s="34" t="inlineStr">
        <is>
          <t>MANO DE OBRA</t>
        </is>
      </c>
      <c r="D9" s="34" t="inlineStr">
        <is>
          <t>Oficial soldador/argonero</t>
        </is>
      </c>
      <c r="E9" s="34" t="inlineStr">
        <is>
          <t>JOR</t>
        </is>
      </c>
      <c r="F9" s="34" t="inlineStr">
        <is>
          <t>*</t>
        </is>
      </c>
      <c r="G9" s="35" t="n">
        <v>1</v>
      </c>
      <c r="H9" s="36" t="n">
        <v>2120.45</v>
      </c>
      <c r="I9" s="36">
        <f>G9*H9</f>
        <v/>
      </c>
      <c r="J9" s="36" t="n">
        <v>1326.14</v>
      </c>
      <c r="K9" s="36">
        <f>G9*J9</f>
        <v/>
      </c>
      <c r="L9" s="36">
        <f>I9-K9</f>
        <v/>
      </c>
      <c r="M9" s="35">
        <f>IF(K9=0,0,L9/K9)</f>
        <v/>
      </c>
      <c r="N9" s="34" t="inlineStr">
        <is>
          <t>data/mano_obra</t>
        </is>
      </c>
      <c r="O9" s="34" t="inlineStr">
        <is>
          <t>Match alto</t>
        </is>
      </c>
      <c r="P9" s="34" t="inlineStr">
        <is>
          <t>INSUMO</t>
        </is>
      </c>
      <c r="Q9" s="34" t="inlineStr">
        <is>
          <t>Revisar</t>
        </is>
      </c>
      <c r="R9" s="34" t="inlineStr">
        <is>
          <t>Validar rendimiento y tarifa</t>
        </is>
      </c>
    </row>
    <row r="10" outlineLevel="1">
      <c r="A10" s="37" t="inlineStr">
        <is>
          <t>Contratista A</t>
        </is>
      </c>
      <c r="B10" s="37" t="inlineStr">
        <is>
          <t>FLEX41.11</t>
        </is>
      </c>
      <c r="C10" s="37" t="inlineStr">
        <is>
          <t>EQUIPO Y HERRAMIENTA</t>
        </is>
      </c>
      <c r="D10" s="37" t="inlineStr">
        <is>
          <t>Herramienta menor</t>
        </is>
      </c>
      <c r="E10" s="37" t="inlineStr">
        <is>
          <t>%</t>
        </is>
      </c>
      <c r="F10" s="37" t="inlineStr">
        <is>
          <t>%</t>
        </is>
      </c>
      <c r="G10" s="38" t="n">
        <v>0.09</v>
      </c>
      <c r="H10" s="39">
        <f>SUM(I8:I9)</f>
        <v/>
      </c>
      <c r="I10" s="39">
        <f>G10*H10</f>
        <v/>
      </c>
      <c r="J10" s="39">
        <f>SUM(K8:K9)</f>
        <v/>
      </c>
      <c r="K10" s="39">
        <f>G10*J10</f>
        <v/>
      </c>
      <c r="L10" s="39">
        <f>I10-K10</f>
        <v/>
      </c>
      <c r="M10" s="38">
        <f>IF(K10=0,0,L10/K10)</f>
        <v/>
      </c>
      <c r="N10" s="37" t="inlineStr">
        <is>
          <t>data/porcentajes</t>
        </is>
      </c>
      <c r="O10" s="37" t="inlineStr">
        <is>
          <t>Referencia</t>
        </is>
      </c>
      <c r="P10" s="37" t="inlineStr">
        <is>
          <t>PORCENTAJE</t>
        </is>
      </c>
      <c r="Q10" s="37" t="inlineStr">
        <is>
          <t>OK</t>
        </is>
      </c>
      <c r="R10" s="37" t="inlineStr">
        <is>
          <t>%HERR sobre mano de obra</t>
        </is>
      </c>
    </row>
    <row r="11" outlineLevel="1">
      <c r="A11" s="37" t="inlineStr">
        <is>
          <t>Contratista A</t>
        </is>
      </c>
      <c r="B11" s="37" t="inlineStr">
        <is>
          <t>FLEX41.11</t>
        </is>
      </c>
      <c r="C11" s="37" t="inlineStr">
        <is>
          <t>EQUIPO Y HERRAMIENTA</t>
        </is>
      </c>
      <c r="D11" s="37" t="inlineStr">
        <is>
          <t>Equipo de protección personal</t>
        </is>
      </c>
      <c r="E11" s="37" t="inlineStr">
        <is>
          <t>%</t>
        </is>
      </c>
      <c r="F11" s="37" t="inlineStr">
        <is>
          <t>%</t>
        </is>
      </c>
      <c r="G11" s="38" t="n">
        <v>0.09</v>
      </c>
      <c r="H11" s="39">
        <f>SUM(I8:I9)</f>
        <v/>
      </c>
      <c r="I11" s="39">
        <f>G11*H11</f>
        <v/>
      </c>
      <c r="J11" s="39">
        <f>SUM(K8:K9)</f>
        <v/>
      </c>
      <c r="K11" s="39">
        <f>G11*J11</f>
        <v/>
      </c>
      <c r="L11" s="39">
        <f>I11-K11</f>
        <v/>
      </c>
      <c r="M11" s="38">
        <f>IF(K11=0,0,L11/K11)</f>
        <v/>
      </c>
      <c r="N11" s="37" t="inlineStr">
        <is>
          <t>data/porcentajes</t>
        </is>
      </c>
      <c r="O11" s="37" t="inlineStr">
        <is>
          <t>Referencia</t>
        </is>
      </c>
      <c r="P11" s="37" t="inlineStr">
        <is>
          <t>PORCENTAJE</t>
        </is>
      </c>
      <c r="Q11" s="37" t="inlineStr">
        <is>
          <t>OK</t>
        </is>
      </c>
      <c r="R11" s="37" t="inlineStr">
        <is>
          <t>%EPP sobre mano de obra</t>
        </is>
      </c>
    </row>
    <row r="12">
      <c r="A12" s="40" t="inlineStr">
        <is>
          <t>Contratista A</t>
        </is>
      </c>
      <c r="B12" s="40" t="inlineStr">
        <is>
          <t>FLEX41.11</t>
        </is>
      </c>
      <c r="C12" s="40" t="inlineStr">
        <is>
          <t>SUBTOTAL</t>
        </is>
      </c>
      <c r="D12" s="40" t="inlineStr">
        <is>
          <t>Costo directo</t>
        </is>
      </c>
      <c r="E12" s="40" t="inlineStr"/>
      <c r="F12" s="40" t="inlineStr"/>
      <c r="G12" s="41" t="n">
        <v>1</v>
      </c>
      <c r="H12" s="42">
        <f>SUM(I7:I11)</f>
        <v/>
      </c>
      <c r="I12" s="42">
        <f>H12</f>
        <v/>
      </c>
      <c r="J12" s="42">
        <f>SUM(K7:K11)</f>
        <v/>
      </c>
      <c r="K12" s="42">
        <f>J12</f>
        <v/>
      </c>
      <c r="L12" s="42">
        <f>I12-K12</f>
        <v/>
      </c>
      <c r="M12" s="41">
        <f>IF(K12=0,0,L12/K12)</f>
        <v/>
      </c>
      <c r="N12" s="40" t="inlineStr">
        <is>
          <t>Cálculo</t>
        </is>
      </c>
      <c r="O12" s="40" t="inlineStr">
        <is>
          <t>Calculado</t>
        </is>
      </c>
      <c r="P12" s="40" t="inlineStr">
        <is>
          <t>SUBTOTAL</t>
        </is>
      </c>
      <c r="Q12" s="40" t="inlineStr">
        <is>
          <t>OK</t>
        </is>
      </c>
      <c r="R12" s="40" t="inlineStr">
        <is>
          <t>Suma materiales + MO + equipo</t>
        </is>
      </c>
    </row>
    <row r="13" outlineLevel="1">
      <c r="A13" s="37" t="inlineStr">
        <is>
          <t>Contratista A</t>
        </is>
      </c>
      <c r="B13" s="37" t="inlineStr">
        <is>
          <t>FLEX41.11</t>
        </is>
      </c>
      <c r="C13" s="37" t="inlineStr">
        <is>
          <t>FINANCIERO</t>
        </is>
      </c>
      <c r="D13" s="37" t="inlineStr">
        <is>
          <t>Costo indirecto</t>
        </is>
      </c>
      <c r="E13" s="37" t="inlineStr">
        <is>
          <t>%</t>
        </is>
      </c>
      <c r="F13" s="37" t="inlineStr">
        <is>
          <t>%</t>
        </is>
      </c>
      <c r="G13" s="38" t="n">
        <v>0.25</v>
      </c>
      <c r="H13" s="39">
        <f>I12</f>
        <v/>
      </c>
      <c r="I13" s="39">
        <f>G13*H13</f>
        <v/>
      </c>
      <c r="J13" s="39">
        <f>K12</f>
        <v/>
      </c>
      <c r="K13" s="39">
        <f>G13*J13</f>
        <v/>
      </c>
      <c r="L13" s="39">
        <f>I13-K13</f>
        <v/>
      </c>
      <c r="M13" s="38">
        <f>IF(K13=0,0,L13/K13)</f>
        <v/>
      </c>
      <c r="N13" s="37" t="inlineStr">
        <is>
          <t>data/porcentajes</t>
        </is>
      </c>
      <c r="O13" s="37" t="inlineStr">
        <is>
          <t>Referencia</t>
        </is>
      </c>
      <c r="P13" s="37" t="inlineStr">
        <is>
          <t>PORCENTAJE</t>
        </is>
      </c>
      <c r="Q13" s="37" t="inlineStr">
        <is>
          <t>Revisar</t>
        </is>
      </c>
      <c r="R13" s="37" t="inlineStr">
        <is>
          <t>Comparar porcentaje aplicado vs rango permitido</t>
        </is>
      </c>
    </row>
    <row r="14">
      <c r="A14" s="40" t="inlineStr">
        <is>
          <t>Contratista A</t>
        </is>
      </c>
      <c r="B14" s="40" t="inlineStr">
        <is>
          <t>FLEX41.11</t>
        </is>
      </c>
      <c r="C14" s="40" t="inlineStr">
        <is>
          <t>TOTAL</t>
        </is>
      </c>
      <c r="D14" s="40" t="inlineStr">
        <is>
          <t>Total costo unitario</t>
        </is>
      </c>
      <c r="E14" s="40" t="inlineStr"/>
      <c r="F14" s="40" t="inlineStr"/>
      <c r="G14" s="41" t="n">
        <v>1</v>
      </c>
      <c r="H14" s="42">
        <f>I12+I13</f>
        <v/>
      </c>
      <c r="I14" s="42">
        <f>H14</f>
        <v/>
      </c>
      <c r="J14" s="42">
        <f>K12+K13</f>
        <v/>
      </c>
      <c r="K14" s="42">
        <f>J14</f>
        <v/>
      </c>
      <c r="L14" s="42">
        <f>I14-K14</f>
        <v/>
      </c>
      <c r="M14" s="41">
        <f>IF(K14=0,0,L14/K14)</f>
        <v/>
      </c>
      <c r="N14" s="40" t="inlineStr">
        <is>
          <t>Cálculo</t>
        </is>
      </c>
      <c r="O14" s="40" t="inlineStr">
        <is>
          <t>Calculado</t>
        </is>
      </c>
      <c r="P14" s="40" t="inlineStr">
        <is>
          <t>TOTAL</t>
        </is>
      </c>
      <c r="Q14" s="40" t="inlineStr">
        <is>
          <t>Reconciliar</t>
        </is>
      </c>
      <c r="R14" s="40" t="inlineStr">
        <is>
          <t>Debe reconciliar contra P.U. en Comparativa</t>
        </is>
      </c>
    </row>
    <row r="17">
      <c r="A17" s="29" t="inlineStr">
        <is>
          <t>Regla canónica</t>
        </is>
      </c>
    </row>
    <row r="18">
      <c r="A18" s="30" t="inlineStr">
        <is>
          <t>Esta hoja NO se crea copiando matrices Construdata. V1 debe leer el APU/matriz del contratista, identificar bloques y cruzar insumos contra materiales, mano de obra, maquinaria y porcentajes desde data.</t>
        </is>
      </c>
    </row>
  </sheetData>
  <autoFilter ref="A5:R14"/>
  <mergeCells count="3">
    <mergeCell ref="A2:R2"/>
    <mergeCell ref="A1:R1"/>
    <mergeCell ref="A18:R18"/>
  </mergeCells>
  <conditionalFormatting sqref="M6:M14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conditionalFormatting sqref="L6:L14">
    <cfRule type="dataBar" priority="2">
      <dataBar showValue="1">
        <cfvo type="num" val="0"/>
        <cfvo type="max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6" customWidth="1" min="4" max="4"/>
    <col width="18" customWidth="1" min="5" max="5"/>
    <col width="16" customWidth="1" min="6" max="6"/>
    <col width="14" customWidth="1" min="7" max="7"/>
    <col width="14" customWidth="1" min="8" max="8"/>
    <col width="18" customWidth="1" min="9" max="9"/>
    <col width="26" customWidth="1" min="10" max="10"/>
    <col width="22" customWidth="1" min="11" max="11"/>
    <col width="18" customWidth="1" min="12" max="12"/>
  </cols>
  <sheetData>
    <row r="1" ht="24" customHeight="1">
      <c r="A1" s="1" t="inlineStr">
        <is>
          <t>Partidas Críticas</t>
        </is>
      </c>
    </row>
    <row r="2" ht="34" customHeight="1">
      <c r="A2" s="2" t="inlineStr">
        <is>
          <t>Priorización de partidas por impacto económico, desviación y riesgo de negociación.</t>
        </is>
      </c>
    </row>
    <row r="5" ht="36" customHeight="1">
      <c r="A5" s="14" t="inlineStr">
        <is>
          <t>Prioridad</t>
        </is>
      </c>
      <c r="B5" s="14" t="inlineStr">
        <is>
          <t>Contratista</t>
        </is>
      </c>
      <c r="C5" s="14" t="inlineStr">
        <is>
          <t>Partida</t>
        </is>
      </c>
      <c r="D5" s="14" t="inlineStr">
        <is>
          <t>Descripción</t>
        </is>
      </c>
      <c r="E5" s="14" t="inlineStr">
        <is>
          <t>Familia</t>
        </is>
      </c>
      <c r="F5" s="14" t="inlineStr">
        <is>
          <t>Impacto</t>
        </is>
      </c>
      <c r="G5" s="14" t="inlineStr">
        <is>
          <t>Desv. %</t>
        </is>
      </c>
      <c r="H5" s="14" t="inlineStr">
        <is>
          <t>Peso %</t>
        </is>
      </c>
      <c r="I5" s="14" t="inlineStr">
        <is>
          <t>Motivo</t>
        </is>
      </c>
      <c r="J5" s="14" t="inlineStr">
        <is>
          <t>Acción sugerida</t>
        </is>
      </c>
      <c r="K5" s="14" t="inlineStr">
        <is>
          <t>Estado revisión</t>
        </is>
      </c>
      <c r="L5" s="14" t="inlineStr">
        <is>
          <t>Responsable</t>
        </is>
      </c>
    </row>
    <row r="6">
      <c r="A6" s="20" t="n">
        <v>1</v>
      </c>
      <c r="B6" s="20" t="inlineStr">
        <is>
          <t>Contratista C</t>
        </is>
      </c>
      <c r="C6" s="20" t="inlineStr">
        <is>
          <t>CIV-001</t>
        </is>
      </c>
      <c r="D6" s="20" t="inlineStr">
        <is>
          <t>Concreto f'c 250</t>
        </is>
      </c>
      <c r="E6" s="20" t="inlineStr">
        <is>
          <t>Concreto</t>
        </is>
      </c>
      <c r="F6" s="21" t="n">
        <v>95000</v>
      </c>
      <c r="G6" s="22" t="n">
        <v>0.24</v>
      </c>
      <c r="H6" s="22" t="n">
        <v>0.18</v>
      </c>
      <c r="I6" s="20" t="inlineStr">
        <is>
          <t>Alto impacto</t>
        </is>
      </c>
      <c r="J6" s="20" t="inlineStr">
        <is>
          <t>Solicitar desglose APU</t>
        </is>
      </c>
      <c r="K6" s="20" t="inlineStr">
        <is>
          <t>Pendiente</t>
        </is>
      </c>
      <c r="L6" s="20" t="inlineStr">
        <is>
          <t>Ingeniería</t>
        </is>
      </c>
    </row>
    <row r="7">
      <c r="A7" s="15" t="n">
        <v>2</v>
      </c>
      <c r="B7" s="15" t="inlineStr">
        <is>
          <t>Contratista A</t>
        </is>
      </c>
      <c r="C7" s="15" t="inlineStr">
        <is>
          <t>CIV-002</t>
        </is>
      </c>
      <c r="D7" s="15" t="inlineStr">
        <is>
          <t>Acero de refuerzo</t>
        </is>
      </c>
      <c r="E7" s="15" t="inlineStr">
        <is>
          <t>Acero</t>
        </is>
      </c>
      <c r="F7" s="16" t="n">
        <v>62000</v>
      </c>
      <c r="G7" s="17" t="n">
        <v>0.2</v>
      </c>
      <c r="H7" s="17" t="n">
        <v>0.12</v>
      </c>
      <c r="I7" s="15" t="inlineStr">
        <is>
          <t>Precio sobre referencia</t>
        </is>
      </c>
      <c r="J7" s="15" t="inlineStr">
        <is>
          <t>Negociar precio unitario</t>
        </is>
      </c>
      <c r="K7" s="15" t="inlineStr">
        <is>
          <t>Pendiente</t>
        </is>
      </c>
      <c r="L7" s="15" t="inlineStr">
        <is>
          <t>Compras</t>
        </is>
      </c>
    </row>
    <row r="8">
      <c r="A8" s="20" t="n">
        <v>3</v>
      </c>
      <c r="B8" s="20" t="inlineStr">
        <is>
          <t>Contratista C</t>
        </is>
      </c>
      <c r="C8" s="20" t="inlineStr">
        <is>
          <t>ELE-001</t>
        </is>
      </c>
      <c r="D8" s="20" t="inlineStr">
        <is>
          <t>Luminarias LED</t>
        </is>
      </c>
      <c r="E8" s="20" t="inlineStr">
        <is>
          <t>Instalaciones</t>
        </is>
      </c>
      <c r="F8" s="21" t="n">
        <v>48000</v>
      </c>
      <c r="G8" s="22" t="n">
        <v>0.22</v>
      </c>
      <c r="H8" s="22" t="n">
        <v>0.09</v>
      </c>
      <c r="I8" s="20" t="inlineStr">
        <is>
          <t>Ficha técnica no validada</t>
        </is>
      </c>
      <c r="J8" s="20" t="inlineStr">
        <is>
          <t>Solicitar aclaración</t>
        </is>
      </c>
      <c r="K8" s="20" t="inlineStr">
        <is>
          <t>Pendiente</t>
        </is>
      </c>
      <c r="L8" s="20" t="inlineStr">
        <is>
          <t>Ingeniería</t>
        </is>
      </c>
    </row>
    <row r="9">
      <c r="A9" s="15" t="n">
        <v>4</v>
      </c>
      <c r="B9" s="15" t="inlineStr">
        <is>
          <t>Contratista B</t>
        </is>
      </c>
      <c r="C9" s="15" t="inlineStr">
        <is>
          <t>GEN-001</t>
        </is>
      </c>
      <c r="D9" s="15" t="inlineStr">
        <is>
          <t>Partida sin referencia directa</t>
        </is>
      </c>
      <c r="E9" s="15" t="inlineStr">
        <is>
          <t>Especial</t>
        </is>
      </c>
      <c r="F9" s="16" t="n">
        <v>15000000</v>
      </c>
      <c r="G9" s="17" t="n">
        <v>0</v>
      </c>
      <c r="H9" s="17" t="n">
        <v>0.2</v>
      </c>
      <c r="I9" s="15" t="inlineStr">
        <is>
          <t>Sin referencia</t>
        </is>
      </c>
      <c r="J9" s="15" t="inlineStr">
        <is>
          <t>Cotización externa</t>
        </is>
      </c>
      <c r="K9" s="15" t="inlineStr">
        <is>
          <t>Pendiente</t>
        </is>
      </c>
      <c r="L9" s="15" t="inlineStr">
        <is>
          <t>Costos</t>
        </is>
      </c>
    </row>
  </sheetData>
  <mergeCells count="2">
    <mergeCell ref="A2:L2"/>
    <mergeCell ref="A1:L1"/>
  </mergeCells>
  <conditionalFormatting sqref="F6:F9">
    <cfRule type="dataBar" priority="1">
      <dataBar showValue="1">
        <cfvo type="num" val="0"/>
        <cfvo type="max"/>
        <color rgb="005B9BD5"/>
      </dataBar>
    </cfRule>
  </conditionalFormatting>
  <conditionalFormatting sqref="G6:G9">
    <cfRule type="colorScale" priority="2">
      <colorScale>
        <cfvo type="min"/>
        <cfvo type="percentile" val="50"/>
        <cfvo type="max"/>
        <color rgb="00E2F0D9"/>
        <color rgb="00FFF2CC"/>
        <color rgb="00FCE4D6"/>
      </colorScale>
    </cfRule>
  </conditionalFormatting>
  <dataValidations count="1">
    <dataValidation sqref="K6:K50" showDropDown="0" showInputMessage="0" showErrorMessage="0" allowBlank="0" type="list">
      <formula1>"Pendiente,Revisado,Aceptado,Solicitar aclaración,Negociar"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0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22" customWidth="1" min="11" max="11"/>
    <col width="20" customWidth="1" min="12" max="12"/>
    <col width="28" customWidth="1" min="13" max="13"/>
  </cols>
  <sheetData>
    <row r="1" ht="24" customHeight="1">
      <c r="A1" s="1" t="inlineStr">
        <is>
          <t>Insumos Críticos</t>
        </is>
      </c>
    </row>
    <row r="2" ht="34" customHeight="1">
      <c r="A2" s="2" t="inlineStr">
        <is>
          <t>Insumos, mano de obra, maquinaria y porcentajes que explican variaciones relevantes.</t>
        </is>
      </c>
    </row>
    <row r="5" ht="36" customHeight="1">
      <c r="A5" s="14" t="inlineStr">
        <is>
          <t>Contratista</t>
        </is>
      </c>
      <c r="B5" s="14" t="inlineStr">
        <is>
          <t>Partida</t>
        </is>
      </c>
      <c r="C5" s="14" t="inlineStr">
        <is>
          <t>Tipo insumo</t>
        </is>
      </c>
      <c r="D5" s="14" t="inlineStr">
        <is>
          <t>Insumo</t>
        </is>
      </c>
      <c r="E5" s="14" t="inlineStr">
        <is>
          <t>Unidad</t>
        </is>
      </c>
      <c r="F5" s="14" t="inlineStr">
        <is>
          <t>Cantidad</t>
        </is>
      </c>
      <c r="G5" s="14" t="inlineStr">
        <is>
          <t>P.U. contratista</t>
        </is>
      </c>
      <c r="H5" s="14" t="inlineStr">
        <is>
          <t>P.U. referencia</t>
        </is>
      </c>
      <c r="I5" s="14" t="inlineStr">
        <is>
          <t>Desv. %</t>
        </is>
      </c>
      <c r="J5" s="14" t="inlineStr">
        <is>
          <t>Impacto</t>
        </is>
      </c>
      <c r="K5" s="14" t="inlineStr">
        <is>
          <t>Fuente data</t>
        </is>
      </c>
      <c r="L5" s="14" t="inlineStr">
        <is>
          <t>Alerta</t>
        </is>
      </c>
      <c r="M5" s="14" t="inlineStr">
        <is>
          <t>Observación</t>
        </is>
      </c>
    </row>
    <row r="6">
      <c r="A6" s="20" t="inlineStr">
        <is>
          <t>Contratista A</t>
        </is>
      </c>
      <c r="B6" s="20" t="inlineStr">
        <is>
          <t>FLEX41.11</t>
        </is>
      </c>
      <c r="C6" s="20" t="inlineStr">
        <is>
          <t>MO</t>
        </is>
      </c>
      <c r="D6" s="20" t="inlineStr">
        <is>
          <t>Supervisor Obra</t>
        </is>
      </c>
      <c r="E6" s="20" t="inlineStr">
        <is>
          <t>JOR</t>
        </is>
      </c>
      <c r="F6" s="20" t="n">
        <v>0.1</v>
      </c>
      <c r="G6" s="21" t="n">
        <v>2643.19</v>
      </c>
      <c r="H6" s="21" t="n">
        <v>1757.33</v>
      </c>
      <c r="I6" s="22">
        <f>(G6-H6)/H6</f>
        <v/>
      </c>
      <c r="J6" s="21">
        <f>MAX((G6-H6)*F6,0)</f>
        <v/>
      </c>
      <c r="K6" s="20" t="inlineStr">
        <is>
          <t>data/mano_obra</t>
        </is>
      </c>
      <c r="L6" s="20" t="inlineStr">
        <is>
          <t>Revisar</t>
        </is>
      </c>
      <c r="M6" s="20" t="inlineStr">
        <is>
          <t>Tarifa superior a referencia</t>
        </is>
      </c>
    </row>
    <row r="7">
      <c r="A7" s="15" t="inlineStr">
        <is>
          <t>Contratista A</t>
        </is>
      </c>
      <c r="B7" s="15" t="inlineStr">
        <is>
          <t>FLEX41.11</t>
        </is>
      </c>
      <c r="C7" s="15" t="inlineStr">
        <is>
          <t>MO</t>
        </is>
      </c>
      <c r="D7" s="15" t="inlineStr">
        <is>
          <t>Oficial soldador/argonero</t>
        </is>
      </c>
      <c r="E7" s="15" t="inlineStr">
        <is>
          <t>JOR</t>
        </is>
      </c>
      <c r="F7" s="15" t="n">
        <v>1</v>
      </c>
      <c r="G7" s="16" t="n">
        <v>2120.45</v>
      </c>
      <c r="H7" s="16" t="n">
        <v>1326.14</v>
      </c>
      <c r="I7" s="17">
        <f>(G7-H7)/H7</f>
        <v/>
      </c>
      <c r="J7" s="16">
        <f>MAX((G7-H7)*F7,0)</f>
        <v/>
      </c>
      <c r="K7" s="15" t="inlineStr">
        <is>
          <t>data/mano_obra</t>
        </is>
      </c>
      <c r="L7" s="15" t="inlineStr">
        <is>
          <t>Revisar</t>
        </is>
      </c>
      <c r="M7" s="15" t="inlineStr">
        <is>
          <t>Validar rendimiento</t>
        </is>
      </c>
    </row>
    <row r="8">
      <c r="A8" s="20" t="inlineStr">
        <is>
          <t>Contratista C</t>
        </is>
      </c>
      <c r="B8" s="20" t="inlineStr">
        <is>
          <t>CIV-001</t>
        </is>
      </c>
      <c r="C8" s="20" t="inlineStr">
        <is>
          <t>Material</t>
        </is>
      </c>
      <c r="D8" s="20" t="inlineStr">
        <is>
          <t>Concreto premezclado</t>
        </is>
      </c>
      <c r="E8" s="20" t="inlineStr">
        <is>
          <t>m3</t>
        </is>
      </c>
      <c r="F8" s="20" t="n">
        <v>40</v>
      </c>
      <c r="G8" s="21" t="n">
        <v>2850000</v>
      </c>
      <c r="H8" s="21" t="n">
        <v>2300000</v>
      </c>
      <c r="I8" s="22">
        <f>(G8-H8)/H8</f>
        <v/>
      </c>
      <c r="J8" s="21">
        <f>MAX((G8-H8)*F8,0)</f>
        <v/>
      </c>
      <c r="K8" s="20" t="inlineStr">
        <is>
          <t>data/materiales</t>
        </is>
      </c>
      <c r="L8" s="20" t="inlineStr">
        <is>
          <t>Alto impacto</t>
        </is>
      </c>
      <c r="M8" s="20" t="inlineStr">
        <is>
          <t>Negociar precio base</t>
        </is>
      </c>
    </row>
    <row r="9">
      <c r="A9" s="15" t="inlineStr">
        <is>
          <t>Contratista C</t>
        </is>
      </c>
      <c r="B9" s="15" t="inlineStr">
        <is>
          <t>ELE-001</t>
        </is>
      </c>
      <c r="C9" s="15" t="inlineStr">
        <is>
          <t>Material</t>
        </is>
      </c>
      <c r="D9" s="15" t="inlineStr">
        <is>
          <t>Luminaria LED</t>
        </is>
      </c>
      <c r="E9" s="15" t="inlineStr">
        <is>
          <t>pza</t>
        </is>
      </c>
      <c r="F9" s="15" t="n">
        <v>35</v>
      </c>
      <c r="G9" s="16" t="n">
        <v>1200000</v>
      </c>
      <c r="H9" s="16" t="n">
        <v>980000</v>
      </c>
      <c r="I9" s="17">
        <f>(G9-H9)/H9</f>
        <v/>
      </c>
      <c r="J9" s="16">
        <f>MAX((G9-H9)*F9,0)</f>
        <v/>
      </c>
      <c r="K9" s="15" t="inlineStr">
        <is>
          <t>data/materiales</t>
        </is>
      </c>
      <c r="L9" s="15" t="inlineStr">
        <is>
          <t>Ficha técnica</t>
        </is>
      </c>
      <c r="M9" s="15" t="inlineStr">
        <is>
          <t>Confirmar especificación</t>
        </is>
      </c>
    </row>
  </sheetData>
  <mergeCells count="2">
    <mergeCell ref="A2:M2"/>
    <mergeCell ref="A1:M1"/>
  </mergeCells>
  <conditionalFormatting sqref="I6:I9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conditionalFormatting sqref="J6:J9">
    <cfRule type="dataBar" priority="2">
      <dataBar showValue="1">
        <cfvo type="num" val="0"/>
        <cfvo type="max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J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6" customWidth="1" min="4" max="4"/>
    <col width="18" customWidth="1" min="5" max="5"/>
    <col width="24" customWidth="1" min="6" max="6"/>
    <col width="36" customWidth="1" min="7" max="7"/>
    <col width="26" customWidth="1" min="8" max="8"/>
    <col width="28" customWidth="1" min="9" max="9"/>
    <col width="18" customWidth="1" min="10" max="10"/>
  </cols>
  <sheetData>
    <row r="1" ht="24" customHeight="1">
      <c r="A1" s="1" t="inlineStr">
        <is>
          <t>Validaciones</t>
        </is>
      </c>
    </row>
    <row r="2" ht="34" customHeight="1">
      <c r="A2" s="2" t="inlineStr">
        <is>
          <t>Bitácora de advertencias, inconsistencias y puntos que requieren revisión técnica.</t>
        </is>
      </c>
    </row>
    <row r="5" ht="36" customHeight="1">
      <c r="A5" s="14" t="inlineStr">
        <is>
          <t>Severidad</t>
        </is>
      </c>
      <c r="B5" s="14" t="inlineStr">
        <is>
          <t>Tipo</t>
        </is>
      </c>
      <c r="C5" s="14" t="inlineStr">
        <is>
          <t>Contratista</t>
        </is>
      </c>
      <c r="D5" s="14" t="inlineStr">
        <is>
          <t>Partida</t>
        </is>
      </c>
      <c r="E5" s="14" t="inlineStr">
        <is>
          <t>Campo</t>
        </is>
      </c>
      <c r="F5" s="14" t="inlineStr">
        <is>
          <t>Valor detectado</t>
        </is>
      </c>
      <c r="G5" s="14" t="inlineStr">
        <is>
          <t>Problema</t>
        </is>
      </c>
      <c r="H5" s="14" t="inlineStr">
        <is>
          <t>Impacto potencial</t>
        </is>
      </c>
      <c r="I5" s="14" t="inlineStr">
        <is>
          <t>Acción sugerida</t>
        </is>
      </c>
      <c r="J5" s="14" t="inlineStr">
        <is>
          <t>Estado</t>
        </is>
      </c>
    </row>
    <row r="6">
      <c r="A6" s="20" t="inlineStr">
        <is>
          <t>Alta</t>
        </is>
      </c>
      <c r="B6" s="20" t="inlineStr">
        <is>
          <t>Total no cuadra</t>
        </is>
      </c>
      <c r="C6" s="20" t="inlineStr">
        <is>
          <t>Contratista A</t>
        </is>
      </c>
      <c r="D6" s="20" t="inlineStr">
        <is>
          <t>FLEX41.11</t>
        </is>
      </c>
      <c r="E6" s="20" t="inlineStr">
        <is>
          <t>P.U.</t>
        </is>
      </c>
      <c r="F6" s="20" t="inlineStr">
        <is>
          <t>31524.55</t>
        </is>
      </c>
      <c r="G6" s="20" t="inlineStr">
        <is>
          <t>El total calculado debe reconciliar con Comparativa</t>
        </is>
      </c>
      <c r="H6" s="20" t="inlineStr">
        <is>
          <t>Puede afectar ranking</t>
        </is>
      </c>
      <c r="I6" s="20" t="inlineStr">
        <is>
          <t>Revisar matriz APU</t>
        </is>
      </c>
      <c r="J6" s="20" t="inlineStr">
        <is>
          <t>Pendiente</t>
        </is>
      </c>
    </row>
    <row r="7">
      <c r="A7" s="18" t="inlineStr">
        <is>
          <t>Media</t>
        </is>
      </c>
      <c r="B7" s="15" t="inlineStr">
        <is>
          <t>Unidad dudosa</t>
        </is>
      </c>
      <c r="C7" s="15" t="inlineStr">
        <is>
          <t>Contratista C</t>
        </is>
      </c>
      <c r="D7" s="15" t="inlineStr">
        <is>
          <t>ELE-001</t>
        </is>
      </c>
      <c r="E7" s="15" t="inlineStr">
        <is>
          <t>Unidad</t>
        </is>
      </c>
      <c r="F7" s="15" t="inlineStr">
        <is>
          <t>pza</t>
        </is>
      </c>
      <c r="G7" s="15" t="inlineStr">
        <is>
          <t>La especificación técnica de luminaria no es suficiente</t>
        </is>
      </c>
      <c r="H7" s="15" t="inlineStr">
        <is>
          <t>Precio no comparable</t>
        </is>
      </c>
      <c r="I7" s="15" t="inlineStr">
        <is>
          <t>Solicitar ficha técnica</t>
        </is>
      </c>
      <c r="J7" s="15" t="inlineStr">
        <is>
          <t>Pendiente</t>
        </is>
      </c>
    </row>
    <row r="8">
      <c r="A8" s="20" t="inlineStr">
        <is>
          <t>Media</t>
        </is>
      </c>
      <c r="B8" s="20" t="inlineStr">
        <is>
          <t>Insumo no encontrado</t>
        </is>
      </c>
      <c r="C8" s="20" t="inlineStr">
        <is>
          <t>Contratista B</t>
        </is>
      </c>
      <c r="D8" s="20" t="inlineStr">
        <is>
          <t>GEN-001</t>
        </is>
      </c>
      <c r="E8" s="20" t="inlineStr">
        <is>
          <t>Referencia</t>
        </is>
      </c>
      <c r="F8" s="20" t="inlineStr">
        <is>
          <t>N/A</t>
        </is>
      </c>
      <c r="G8" s="20" t="inlineStr">
        <is>
          <t>No existe referencia granular en data</t>
        </is>
      </c>
      <c r="H8" s="20" t="inlineStr">
        <is>
          <t>Requiere cotización externa</t>
        </is>
      </c>
      <c r="I8" s="20" t="inlineStr">
        <is>
          <t>Solicitar soporte</t>
        </is>
      </c>
      <c r="J8" s="20" t="inlineStr">
        <is>
          <t>Pendiente</t>
        </is>
      </c>
    </row>
    <row r="9">
      <c r="A9" s="18" t="inlineStr">
        <is>
          <t>Baja</t>
        </is>
      </c>
      <c r="B9" s="15" t="inlineStr">
        <is>
          <t>Match medio</t>
        </is>
      </c>
      <c r="C9" s="15" t="inlineStr">
        <is>
          <t>Contratista A</t>
        </is>
      </c>
      <c r="D9" s="15" t="inlineStr">
        <is>
          <t>CIV-002</t>
        </is>
      </c>
      <c r="E9" s="15" t="inlineStr">
        <is>
          <t>Insumo</t>
        </is>
      </c>
      <c r="F9" s="15" t="inlineStr">
        <is>
          <t>Acero</t>
        </is>
      </c>
      <c r="G9" s="15" t="inlineStr">
        <is>
          <t>Match por descripción, no por código</t>
        </is>
      </c>
      <c r="H9" s="15" t="inlineStr">
        <is>
          <t>Revisión documental</t>
        </is>
      </c>
      <c r="I9" s="15" t="inlineStr">
        <is>
          <t>Validar código</t>
        </is>
      </c>
      <c r="J9" s="15" t="inlineStr">
        <is>
          <t>Pendiente</t>
        </is>
      </c>
    </row>
  </sheetData>
  <mergeCells count="2">
    <mergeCell ref="A1:J1"/>
    <mergeCell ref="A2:J2"/>
  </mergeCells>
  <dataValidations count="1">
    <dataValidation sqref="J6:J100" showDropDown="0" showInputMessage="0" showErrorMessage="0" allowBlank="0" type="list">
      <formula1>"Pendiente,Revisado,Resuelto,No aplica"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2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Parámetros</t>
        </is>
      </c>
    </row>
    <row r="2" ht="34" customHeight="1">
      <c r="A2" s="2" t="inlineStr">
        <is>
          <t>Trazabilidad del reporte: fuentes, reglas, versiones y limitaciones metodológicas.</t>
        </is>
      </c>
    </row>
    <row r="5" ht="36" customHeight="1">
      <c r="A5" s="14" t="inlineStr">
        <is>
          <t>Parámetro</t>
        </is>
      </c>
      <c r="B5" s="14" t="inlineStr">
        <is>
          <t>Valor</t>
        </is>
      </c>
      <c r="C5" s="14" t="inlineStr">
        <is>
          <t>Tipo</t>
        </is>
      </c>
    </row>
    <row r="6">
      <c r="A6" s="20" t="inlineStr">
        <is>
          <t>Versión sistema</t>
        </is>
      </c>
      <c r="B6" s="20" t="inlineStr">
        <is>
          <t>V0 canónica</t>
        </is>
      </c>
      <c r="C6" s="20" t="inlineStr"/>
    </row>
    <row r="7">
      <c r="A7" s="15" t="inlineStr">
        <is>
          <t>Fecha generación</t>
        </is>
      </c>
      <c r="B7" s="15" t="inlineStr">
        <is>
          <t>2026-06-17 23:13</t>
        </is>
      </c>
      <c r="C7" s="15" t="inlineStr"/>
    </row>
    <row r="8">
      <c r="A8" s="20" t="inlineStr">
        <is>
          <t>Motor Excel</t>
        </is>
      </c>
      <c r="B8" s="20" t="inlineStr">
        <is>
          <t>ExcelReportEngineV1 - versión profesional inicial</t>
        </is>
      </c>
      <c r="C8" s="20" t="inlineStr"/>
    </row>
    <row r="9">
      <c r="A9" s="15" t="inlineStr">
        <is>
          <t>Presupuesto base</t>
        </is>
      </c>
      <c r="B9" s="15" t="inlineStr">
        <is>
          <t>Usa data/construdata_matrices.xlsx solamente para módulo independiente</t>
        </is>
      </c>
      <c r="C9" s="15" t="inlineStr">
        <is>
          <t>Regla canónica</t>
        </is>
      </c>
    </row>
    <row r="10">
      <c r="A10" s="20" t="inlineStr">
        <is>
          <t>Detalle APU</t>
        </is>
      </c>
      <c r="B10" s="20" t="inlineStr">
        <is>
          <t>Usa matriz/APU del contratista + referencias granulares de data</t>
        </is>
      </c>
      <c r="C10" s="20" t="inlineStr">
        <is>
          <t>Regla canónica</t>
        </is>
      </c>
    </row>
    <row r="11">
      <c r="A11" s="15" t="inlineStr">
        <is>
          <t>Materiales</t>
        </is>
      </c>
      <c r="B11" s="15" t="inlineStr">
        <is>
          <t>data/construdata-materiales-052026.xlsx</t>
        </is>
      </c>
      <c r="C11" s="15" t="inlineStr">
        <is>
          <t>Referencia granular</t>
        </is>
      </c>
    </row>
    <row r="12">
      <c r="A12" s="20" t="inlineStr">
        <is>
          <t>Mano de obra</t>
        </is>
      </c>
      <c r="B12" s="20" t="inlineStr">
        <is>
          <t>data/construdata-manodeobra-052026*.xlsx</t>
        </is>
      </c>
      <c r="C12" s="20" t="inlineStr">
        <is>
          <t>Referencia granular</t>
        </is>
      </c>
    </row>
    <row r="13">
      <c r="A13" s="15" t="inlineStr">
        <is>
          <t>Maquinaria</t>
        </is>
      </c>
      <c r="B13" s="15" t="inlineStr">
        <is>
          <t>data/construdata-maquinaria-052026.xlsx</t>
        </is>
      </c>
      <c r="C13" s="15" t="inlineStr">
        <is>
          <t>Referencia granular</t>
        </is>
      </c>
    </row>
    <row r="14">
      <c r="A14" s="20" t="inlineStr">
        <is>
          <t>IA</t>
        </is>
      </c>
      <c r="B14" s="20" t="inlineStr">
        <is>
          <t>Interpreta resultados calculados; no calcula montos</t>
        </is>
      </c>
      <c r="C14" s="20" t="inlineStr">
        <is>
          <t>Regla canónica</t>
        </is>
      </c>
    </row>
    <row r="15">
      <c r="A15" s="15" t="inlineStr">
        <is>
          <t>Limitación V0</t>
        </is>
      </c>
      <c r="B15" s="15" t="inlineStr">
        <is>
          <t>Datos mockeados para validar diseño y estructura. V1 conectará lectura real de matrices/APU.</t>
        </is>
      </c>
      <c r="C15" s="15" t="inlineStr">
        <is>
          <t>Importante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Análisis IA</t>
        </is>
      </c>
    </row>
    <row r="2" ht="34" customHeight="1">
      <c r="A2" s="2" t="inlineStr">
        <is>
          <t>Narrativa ejecutiva generada sobre datos calculados. La IA no inventa importes ni modifica cálculos.</t>
        </is>
      </c>
    </row>
    <row r="5" ht="36" customHeight="1">
      <c r="A5" s="14" t="inlineStr">
        <is>
          <t>Sección</t>
        </is>
      </c>
      <c r="B5" s="14" t="inlineStr">
        <is>
          <t>Contenido</t>
        </is>
      </c>
    </row>
    <row r="6" ht="45" customHeight="1">
      <c r="A6" s="20" t="inlineStr">
        <is>
          <t>Resumen ejecutivo</t>
        </is>
      </c>
      <c r="B6" s="20" t="inlineStr">
        <is>
          <t>La comparación identifica una propuesta competitiva, pero con partidas críticas que requieren validación técnica antes de negociar o adjudicar.</t>
        </is>
      </c>
    </row>
    <row r="7" ht="45" customHeight="1">
      <c r="A7" s="15" t="inlineStr">
        <is>
          <t>Riesgos</t>
        </is>
      </c>
      <c r="B7" s="15" t="inlineStr">
        <is>
          <t>El riesgo principal se concentra en partidas con alto impacto económico y en diferencias de insumos de mano de obra y materiales.</t>
        </is>
      </c>
    </row>
    <row r="8" ht="45" customHeight="1">
      <c r="A8" s="20" t="inlineStr">
        <is>
          <t>Recomendaciones</t>
        </is>
      </c>
      <c r="B8" s="20" t="inlineStr">
        <is>
          <t>Solicitar desglose APU, validar rendimiento, comparar porcentajes financieros y negociar partidas con mayor impacto económico.</t>
        </is>
      </c>
    </row>
    <row r="9" ht="45" customHeight="1">
      <c r="A9" s="15" t="inlineStr">
        <is>
          <t>Preguntas al contratista</t>
        </is>
      </c>
      <c r="B9" s="15" t="inlineStr">
        <is>
          <t>¿Qué alcance está incluido en las partidas bajo mercado? ¿Qué tarifas y rendimientos soportan mano de obra? ¿Qué fichas técnicas respaldan los insumos críticos?</t>
        </is>
      </c>
    </row>
    <row r="10" ht="45" customHeight="1">
      <c r="A10" s="20" t="inlineStr">
        <is>
          <t>Limitaciones</t>
        </is>
      </c>
      <c r="B10" s="20" t="inlineStr">
        <is>
          <t>V0 usa datos mockeados. El motor real debe leer la matriz/APU del contratista y poblar Detalle APU desde esa fuente.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2026-06-17T23:13:41Z</dcterms:created>
  <dcterms:modified xmlns:dcterms="http://purl.org/dc/terms/" xmlns:xsi="http://www.w3.org/2001/XMLSchema-instance" xsi:type="dcterms:W3CDTF">2026-06-17T23:13:41Z</dcterms:modified>
</cp:coreProperties>
</file>