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arativa" sheetId="2" state="visible" r:id="rId2"/>
    <sheet xmlns:r="http://schemas.openxmlformats.org/officeDocument/2006/relationships" name="Detalle Base" sheetId="3" state="visible" r:id="rId3"/>
    <sheet xmlns:r="http://schemas.openxmlformats.org/officeDocument/2006/relationships" name="Pará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1F4E79"/>
      <sz val="17"/>
    </font>
    <font>
      <i val="1"/>
      <color rgb="00667085"/>
    </font>
    <font>
      <b val="1"/>
      <color rgb="00667085"/>
      <sz val="9"/>
    </font>
    <font>
      <b val="1"/>
      <color rgb="001F4E79"/>
      <sz val="15"/>
    </font>
    <font>
      <color rgb="00667085"/>
      <sz val="9"/>
    </font>
    <font>
      <b val="1"/>
      <color rgb="00FFFFFF"/>
    </font>
    <font>
      <color rgb="001F2937"/>
    </font>
  </fonts>
  <fills count="8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FCFCFD"/>
      </patternFill>
    </fill>
  </fills>
  <borders count="4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B6C2CF"/>
      </left>
      <right style="thin">
        <color rgb="00B6C2CF"/>
      </right>
      <top style="thin">
        <color rgb="00B6C2CF"/>
      </top>
      <bottom style="thin">
        <color rgb="00B6C2CF"/>
      </bottom>
    </border>
    <border>
      <left style="thin">
        <color rgb="00EAECF0"/>
      </left>
      <right style="thin">
        <color rgb="00EAECF0"/>
      </right>
      <top style="thin">
        <color rgb="00EAECF0"/>
      </top>
      <bottom style="thin">
        <color rgb="00EAECF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3" applyAlignment="1" pivotButton="0" quotePrefix="0" xfId="0">
      <alignment vertical="top" wrapText="1"/>
    </xf>
    <xf numFmtId="164" fontId="7" fillId="7" borderId="3" applyAlignment="1" pivotButton="0" quotePrefix="0" xfId="0">
      <alignment vertical="top" wrapText="1"/>
    </xf>
    <xf numFmtId="0" fontId="7" fillId="0" borderId="3" applyAlignment="1" pivotButton="0" quotePrefix="0" xfId="0">
      <alignment vertical="top" wrapText="1"/>
    </xf>
    <xf numFmtId="164" fontId="7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aseBudgetComparativaTable" displayName="BaseBudgetComparativaTable" ref="A5:J9" headerRowCount="1">
  <autoFilter ref="A5:J9"/>
  <tableColumns count="10">
    <tableColumn id="1" name="Código"/>
    <tableColumn id="2" name="Concepto ingeniería"/>
    <tableColumn id="3" name="Unidad"/>
    <tableColumn id="4" name="Cantidad"/>
    <tableColumn id="5" name="Concepto Construdata"/>
    <tableColumn id="6" name="P.U. referencia"/>
    <tableColumn id="7" name="Importe base"/>
    <tableColumn id="8" name="Confianza"/>
    <tableColumn id="9" name="Estado"/>
    <tableColumn id="10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seBudgetDetalleTable" displayName="BaseBudgetDetalleTable" ref="A5:I7" headerRowCount="1">
  <autoFilter ref="A5:I7"/>
  <tableColumns count="9">
    <tableColumn id="1" name="Concepto base"/>
    <tableColumn id="2" name="Descripción ingeniería"/>
    <tableColumn id="3" name="Matriz Construdata"/>
    <tableColumn id="4" name="Unidad"/>
    <tableColumn id="5" name="Cantidad"/>
    <tableColumn id="6" name="P.U. ref."/>
    <tableColumn id="7" name="Importe"/>
    <tableColumn id="8" name="Estado"/>
    <tableColumn id="9" name="Nota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ParametrosTable" displayName="ParametrosTable" ref="A5:C15" headerRowCount="1">
  <autoFilter ref="A5:C15"/>
  <tableColumns count="3">
    <tableColumn id="1" name="Parámetro"/>
    <tableColumn id="2" name="Valor"/>
    <tableColumn id="3" name="Ti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4" customHeight="1">
      <c r="A1" s="1" t="inlineStr">
        <is>
          <t>Presupuesto Base</t>
        </is>
      </c>
    </row>
    <row r="2" ht="34" customHeight="1">
      <c r="A2" s="2" t="inlineStr">
        <is>
          <t>Presupuesto independiente generado desde conceptos de ingeniería + matrices Construdata.</t>
        </is>
      </c>
    </row>
    <row r="4">
      <c r="A4" s="3" t="inlineStr">
        <is>
          <t>Monto estimado</t>
        </is>
      </c>
      <c r="B4" s="4" t="n"/>
      <c r="C4" s="3" t="inlineStr">
        <is>
          <t>Conceptos</t>
        </is>
      </c>
      <c r="D4" s="4" t="n"/>
      <c r="E4" s="5" t="inlineStr">
        <is>
          <t>Con match</t>
        </is>
      </c>
      <c r="F4" s="6" t="n"/>
      <c r="G4" s="7" t="inlineStr">
        <is>
          <t>En revisión</t>
        </is>
      </c>
      <c r="H4" s="8" t="n"/>
      <c r="I4" s="9" t="inlineStr">
        <is>
          <t>Sin match</t>
        </is>
      </c>
      <c r="J4" s="10" t="n"/>
    </row>
    <row r="5">
      <c r="A5" s="11" t="n">
        <v>56520000</v>
      </c>
      <c r="B5" s="4" t="n"/>
      <c r="C5" s="12" t="n">
        <v>128</v>
      </c>
      <c r="D5" s="4" t="n"/>
      <c r="E5" s="13" t="n">
        <v>104</v>
      </c>
      <c r="F5" s="6" t="n"/>
      <c r="G5" s="14" t="n">
        <v>17</v>
      </c>
      <c r="H5" s="8" t="n"/>
      <c r="I5" s="15" t="n">
        <v>7</v>
      </c>
      <c r="J5" s="10" t="n"/>
    </row>
    <row r="6">
      <c r="A6" s="16" t="inlineStr">
        <is>
          <t>Base mock</t>
        </is>
      </c>
      <c r="B6" s="4" t="n"/>
      <c r="C6" s="16" t="inlineStr">
        <is>
          <t>Archivo ingeniería</t>
        </is>
      </c>
      <c r="D6" s="4" t="n"/>
      <c r="E6" s="17" t="inlineStr">
        <is>
          <t>Construdata matrices</t>
        </is>
      </c>
      <c r="F6" s="6" t="n"/>
      <c r="G6" s="18" t="inlineStr">
        <is>
          <t>Match medio</t>
        </is>
      </c>
      <c r="H6" s="8" t="n"/>
      <c r="I6" s="19" t="inlineStr">
        <is>
          <t>Cotizar</t>
        </is>
      </c>
      <c r="J6" s="10" t="n"/>
    </row>
  </sheetData>
  <mergeCells count="17">
    <mergeCell ref="A4:B4"/>
    <mergeCell ref="G4:H4"/>
    <mergeCell ref="A1:J1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I5:J5"/>
    <mergeCell ref="G6:H6"/>
    <mergeCell ref="A2:J2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2" customWidth="1" min="4" max="4"/>
    <col width="42" customWidth="1" min="5" max="5"/>
    <col width="16" customWidth="1" min="6" max="6"/>
    <col width="18" customWidth="1" min="7" max="7"/>
    <col width="14" customWidth="1" min="8" max="8"/>
    <col width="16" customWidth="1" min="9" max="9"/>
    <col width="28" customWidth="1" min="10" max="10"/>
  </cols>
  <sheetData>
    <row r="1" ht="24" customHeight="1">
      <c r="A1" s="1" t="inlineStr">
        <is>
          <t>Comparativa presupuesto base</t>
        </is>
      </c>
    </row>
    <row r="2" ht="34" customHeight="1">
      <c r="A2" s="2" t="inlineStr">
        <is>
          <t>Conceptos presupuestados contra matrices Construdata. No es flujo obligatorio de licitación.</t>
        </is>
      </c>
    </row>
    <row r="5" ht="36" customHeight="1">
      <c r="A5" s="20" t="inlineStr">
        <is>
          <t>Código</t>
        </is>
      </c>
      <c r="B5" s="20" t="inlineStr">
        <is>
          <t>Concepto ingeniería</t>
        </is>
      </c>
      <c r="C5" s="20" t="inlineStr">
        <is>
          <t>Unidad</t>
        </is>
      </c>
      <c r="D5" s="20" t="inlineStr">
        <is>
          <t>Cantidad</t>
        </is>
      </c>
      <c r="E5" s="20" t="inlineStr">
        <is>
          <t>Concepto Construdata</t>
        </is>
      </c>
      <c r="F5" s="20" t="inlineStr">
        <is>
          <t>P.U. referencia</t>
        </is>
      </c>
      <c r="G5" s="20" t="inlineStr">
        <is>
          <t>Importe base</t>
        </is>
      </c>
      <c r="H5" s="20" t="inlineStr">
        <is>
          <t>Confianza</t>
        </is>
      </c>
      <c r="I5" s="20" t="inlineStr">
        <is>
          <t>Estado</t>
        </is>
      </c>
      <c r="J5" s="20" t="inlineStr">
        <is>
          <t>Observación</t>
        </is>
      </c>
    </row>
    <row r="6">
      <c r="A6" s="21" t="inlineStr">
        <is>
          <t>001</t>
        </is>
      </c>
      <c r="B6" s="21" t="inlineStr">
        <is>
          <t>Excavación manual</t>
        </is>
      </c>
      <c r="C6" s="21" t="inlineStr">
        <is>
          <t>m3</t>
        </is>
      </c>
      <c r="D6" s="21" t="n">
        <v>120</v>
      </c>
      <c r="E6" s="21" t="inlineStr">
        <is>
          <t>Excavación manual material común</t>
        </is>
      </c>
      <c r="F6" s="22" t="n">
        <v>88000</v>
      </c>
      <c r="G6" s="22">
        <f>D6*F6</f>
        <v/>
      </c>
      <c r="H6" s="21" t="inlineStr">
        <is>
          <t>Alta</t>
        </is>
      </c>
      <c r="I6" s="21" t="inlineStr">
        <is>
          <t>Con precio</t>
        </is>
      </c>
      <c r="J6" s="21" t="inlineStr">
        <is>
          <t>Match por descripción/unidad</t>
        </is>
      </c>
    </row>
    <row r="7">
      <c r="A7" s="23" t="inlineStr">
        <is>
          <t>002</t>
        </is>
      </c>
      <c r="B7" s="23" t="inlineStr">
        <is>
          <t>Concreto f'c 250</t>
        </is>
      </c>
      <c r="C7" s="23" t="inlineStr">
        <is>
          <t>m3</t>
        </is>
      </c>
      <c r="D7" s="23" t="n">
        <v>40</v>
      </c>
      <c r="E7" s="23" t="inlineStr">
        <is>
          <t>Concreto 250 kg/cm2</t>
        </is>
      </c>
      <c r="F7" s="24" t="n">
        <v>420000</v>
      </c>
      <c r="G7" s="24">
        <f>D7*F7</f>
        <v/>
      </c>
      <c r="H7" s="23" t="inlineStr">
        <is>
          <t>Alta</t>
        </is>
      </c>
      <c r="I7" s="23" t="inlineStr">
        <is>
          <t>Con precio</t>
        </is>
      </c>
      <c r="J7" s="23" t="inlineStr">
        <is>
          <t>Match confiable</t>
        </is>
      </c>
    </row>
    <row r="8">
      <c r="A8" s="21" t="inlineStr">
        <is>
          <t>003</t>
        </is>
      </c>
      <c r="B8" s="21" t="inlineStr">
        <is>
          <t>Acero de refuerzo</t>
        </is>
      </c>
      <c r="C8" s="21" t="inlineStr">
        <is>
          <t>kg</t>
        </is>
      </c>
      <c r="D8" s="21" t="n">
        <v>1800</v>
      </c>
      <c r="E8" s="21" t="inlineStr">
        <is>
          <t>Acero fy 4200</t>
        </is>
      </c>
      <c r="F8" s="22" t="n">
        <v>6200</v>
      </c>
      <c r="G8" s="22">
        <f>D8*F8</f>
        <v/>
      </c>
      <c r="H8" s="21" t="inlineStr">
        <is>
          <t>Media</t>
        </is>
      </c>
      <c r="I8" s="21" t="inlineStr">
        <is>
          <t>Revisar</t>
        </is>
      </c>
      <c r="J8" s="21" t="inlineStr">
        <is>
          <t>Validar especificación</t>
        </is>
      </c>
    </row>
    <row r="9">
      <c r="A9" s="23" t="inlineStr">
        <is>
          <t>004</t>
        </is>
      </c>
      <c r="B9" s="23" t="inlineStr">
        <is>
          <t>Partida especial</t>
        </is>
      </c>
      <c r="C9" s="23" t="inlineStr">
        <is>
          <t>gl</t>
        </is>
      </c>
      <c r="D9" s="23" t="n">
        <v>1</v>
      </c>
      <c r="E9" s="23" t="inlineStr"/>
      <c r="F9" s="24" t="n">
        <v>0</v>
      </c>
      <c r="G9" s="24">
        <f>D9*F9</f>
        <v/>
      </c>
      <c r="H9" s="23" t="inlineStr">
        <is>
          <t>Baja</t>
        </is>
      </c>
      <c r="I9" s="23" t="inlineStr">
        <is>
          <t>Sin referencia</t>
        </is>
      </c>
      <c r="J9" s="23" t="inlineStr">
        <is>
          <t>Requiere cotización externa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  <col width="12" customWidth="1" min="4" max="4"/>
    <col width="12" customWidth="1" min="5" max="5"/>
    <col width="16" customWidth="1" min="6" max="6"/>
    <col width="18" customWidth="1" min="7" max="7"/>
    <col width="18" customWidth="1" min="8" max="8"/>
    <col width="32" customWidth="1" min="9" max="9"/>
  </cols>
  <sheetData>
    <row r="1" ht="24" customHeight="1">
      <c r="A1" s="1" t="inlineStr">
        <is>
          <t>Detalle presupuesto base</t>
        </is>
      </c>
    </row>
    <row r="2" ht="34" customHeight="1">
      <c r="A2" s="2" t="inlineStr">
        <is>
          <t>Cruce conceptual entre conceptos de ingeniería y matrices Construdata.</t>
        </is>
      </c>
    </row>
    <row r="5" ht="36" customHeight="1">
      <c r="A5" s="20" t="inlineStr">
        <is>
          <t>Concepto base</t>
        </is>
      </c>
      <c r="B5" s="20" t="inlineStr">
        <is>
          <t>Descripción ingeniería</t>
        </is>
      </c>
      <c r="C5" s="20" t="inlineStr">
        <is>
          <t>Matriz Construdata</t>
        </is>
      </c>
      <c r="D5" s="20" t="inlineStr">
        <is>
          <t>Unidad</t>
        </is>
      </c>
      <c r="E5" s="20" t="inlineStr">
        <is>
          <t>Cantidad</t>
        </is>
      </c>
      <c r="F5" s="20" t="inlineStr">
        <is>
          <t>P.U. ref.</t>
        </is>
      </c>
      <c r="G5" s="20" t="inlineStr">
        <is>
          <t>Importe</t>
        </is>
      </c>
      <c r="H5" s="20" t="inlineStr">
        <is>
          <t>Estado</t>
        </is>
      </c>
      <c r="I5" s="20" t="inlineStr">
        <is>
          <t>Nota</t>
        </is>
      </c>
    </row>
    <row r="6">
      <c r="A6" s="21" t="inlineStr">
        <is>
          <t>Excavación</t>
        </is>
      </c>
      <c r="B6" s="21" t="inlineStr">
        <is>
          <t>Excavación manual</t>
        </is>
      </c>
      <c r="C6" s="21" t="inlineStr">
        <is>
          <t>Excavación manual material común</t>
        </is>
      </c>
      <c r="D6" s="21" t="inlineStr">
        <is>
          <t>m3</t>
        </is>
      </c>
      <c r="E6" s="21" t="n">
        <v>120</v>
      </c>
      <c r="F6" s="22" t="n">
        <v>88000</v>
      </c>
      <c r="G6" s="22">
        <f>E6*F6</f>
        <v/>
      </c>
      <c r="H6" s="21" t="inlineStr">
        <is>
          <t>Con precio</t>
        </is>
      </c>
      <c r="I6" s="21" t="inlineStr">
        <is>
          <t>Usado para presupuesto base independiente</t>
        </is>
      </c>
    </row>
    <row r="7">
      <c r="A7" s="23" t="inlineStr">
        <is>
          <t>Acero</t>
        </is>
      </c>
      <c r="B7" s="23" t="inlineStr">
        <is>
          <t>Acero de refuerzo</t>
        </is>
      </c>
      <c r="C7" s="23" t="inlineStr">
        <is>
          <t>Acero fy 4200</t>
        </is>
      </c>
      <c r="D7" s="23" t="inlineStr">
        <is>
          <t>kg</t>
        </is>
      </c>
      <c r="E7" s="23" t="n">
        <v>1800</v>
      </c>
      <c r="F7" s="24" t="n">
        <v>6200</v>
      </c>
      <c r="G7" s="24">
        <f>E7*F7</f>
        <v/>
      </c>
      <c r="H7" s="23" t="inlineStr">
        <is>
          <t>Revisar</t>
        </is>
      </c>
      <c r="I7" s="23" t="inlineStr">
        <is>
          <t>Match medio por descripción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2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Parámetros</t>
        </is>
      </c>
    </row>
    <row r="2" ht="34" customHeight="1">
      <c r="A2" s="2" t="inlineStr">
        <is>
          <t>Trazabilidad del reporte: fuentes, reglas, versiones y limitaciones metodológicas.</t>
        </is>
      </c>
    </row>
    <row r="5" ht="36" customHeight="1">
      <c r="A5" s="20" t="inlineStr">
        <is>
          <t>Parámetro</t>
        </is>
      </c>
      <c r="B5" s="20" t="inlineStr">
        <is>
          <t>Valor</t>
        </is>
      </c>
      <c r="C5" s="20" t="inlineStr">
        <is>
          <t>Tipo</t>
        </is>
      </c>
    </row>
    <row r="6">
      <c r="A6" s="21" t="inlineStr">
        <is>
          <t>Versión sistema</t>
        </is>
      </c>
      <c r="B6" s="21" t="inlineStr">
        <is>
          <t>V0 canónica</t>
        </is>
      </c>
      <c r="C6" s="21" t="inlineStr"/>
    </row>
    <row r="7">
      <c r="A7" s="23" t="inlineStr">
        <is>
          <t>Fecha generación</t>
        </is>
      </c>
      <c r="B7" s="23" t="inlineStr">
        <is>
          <t>2026-06-17 23:13</t>
        </is>
      </c>
      <c r="C7" s="23" t="inlineStr"/>
    </row>
    <row r="8">
      <c r="A8" s="21" t="inlineStr">
        <is>
          <t>Motor Excel</t>
        </is>
      </c>
      <c r="B8" s="21" t="inlineStr">
        <is>
          <t>ExcelReportEngineV1 - versión profesional inicial</t>
        </is>
      </c>
      <c r="C8" s="21" t="inlineStr"/>
    </row>
    <row r="9">
      <c r="A9" s="23" t="inlineStr">
        <is>
          <t>Presupuesto base</t>
        </is>
      </c>
      <c r="B9" s="23" t="inlineStr">
        <is>
          <t>Usa data/construdata_matrices.xlsx solamente para módulo independiente</t>
        </is>
      </c>
      <c r="C9" s="23" t="inlineStr">
        <is>
          <t>Regla canónica</t>
        </is>
      </c>
    </row>
    <row r="10">
      <c r="A10" s="21" t="inlineStr">
        <is>
          <t>Detalle APU</t>
        </is>
      </c>
      <c r="B10" s="21" t="inlineStr">
        <is>
          <t>Usa matriz/APU del contratista + referencias granulares de data</t>
        </is>
      </c>
      <c r="C10" s="21" t="inlineStr">
        <is>
          <t>Regla canónica</t>
        </is>
      </c>
    </row>
    <row r="11">
      <c r="A11" s="23" t="inlineStr">
        <is>
          <t>Materiales</t>
        </is>
      </c>
      <c r="B11" s="23" t="inlineStr">
        <is>
          <t>data/construdata-materiales-052026.xlsx</t>
        </is>
      </c>
      <c r="C11" s="23" t="inlineStr">
        <is>
          <t>Referencia granular</t>
        </is>
      </c>
    </row>
    <row r="12">
      <c r="A12" s="21" t="inlineStr">
        <is>
          <t>Mano de obra</t>
        </is>
      </c>
      <c r="B12" s="21" t="inlineStr">
        <is>
          <t>data/construdata-manodeobra-052026*.xlsx</t>
        </is>
      </c>
      <c r="C12" s="21" t="inlineStr">
        <is>
          <t>Referencia granular</t>
        </is>
      </c>
    </row>
    <row r="13">
      <c r="A13" s="23" t="inlineStr">
        <is>
          <t>Maquinaria</t>
        </is>
      </c>
      <c r="B13" s="23" t="inlineStr">
        <is>
          <t>data/construdata-maquinaria-052026.xlsx</t>
        </is>
      </c>
      <c r="C13" s="23" t="inlineStr">
        <is>
          <t>Referencia granular</t>
        </is>
      </c>
    </row>
    <row r="14">
      <c r="A14" s="21" t="inlineStr">
        <is>
          <t>IA</t>
        </is>
      </c>
      <c r="B14" s="21" t="inlineStr">
        <is>
          <t>Interpreta resultados calculados; no calcula montos</t>
        </is>
      </c>
      <c r="C14" s="21" t="inlineStr">
        <is>
          <t>Regla canónica</t>
        </is>
      </c>
    </row>
    <row r="15">
      <c r="A15" s="23" t="inlineStr">
        <is>
          <t>Limitación V0</t>
        </is>
      </c>
      <c r="B15" s="23" t="inlineStr">
        <is>
          <t>Datos mockeados para validar diseño y estructura. V1 conectará lectura real de matrices/APU.</t>
        </is>
      </c>
      <c r="C15" s="23" t="inlineStr">
        <is>
          <t>Importante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2026-06-17T23:13:41Z</dcterms:created>
  <dcterms:modified xmlns:dcterms="http://purl.org/dc/terms/" xmlns:xsi="http://www.w3.org/2001/XMLSchema-instance" xsi:type="dcterms:W3CDTF">2026-06-17T23:13:41Z</dcterms:modified>
</cp:coreProperties>
</file>