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Detalle APU" sheetId="3" state="visible" r:id="rId3"/>
    <sheet xmlns:r="http://schemas.openxmlformats.org/officeDocument/2006/relationships" name="Partidas Críticas" sheetId="4" state="visible" r:id="rId4"/>
    <sheet xmlns:r="http://schemas.openxmlformats.org/officeDocument/2006/relationships" name="Insumos Críticos" sheetId="5" state="visible" r:id="rId5"/>
    <sheet xmlns:r="http://schemas.openxmlformats.org/officeDocument/2006/relationships" name="Validaciones" sheetId="6" state="visible" r:id="rId6"/>
    <sheet xmlns:r="http://schemas.openxmlformats.org/officeDocument/2006/relationships" name="Análisis IA" sheetId="7" state="visible" r:id="rId7"/>
  </sheets>
  <definedNames>
    <definedName name="_xlnm._FilterDatabase" localSheetId="1" hidden="1">'Comparativa'!$A$2:$P$7</definedName>
    <definedName name="_xlnm._FilterDatabase" localSheetId="2" hidden="1">'Detalle APU'!$A$2:$V$25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color rgb="001F4E79"/>
      <sz val="17"/>
    </font>
    <font>
      <i val="1"/>
      <color rgb="00667085"/>
    </font>
    <font>
      <b val="1"/>
      <color rgb="00667085"/>
      <sz val="9"/>
    </font>
    <font>
      <b val="1"/>
      <color rgb="001F4E79"/>
      <sz val="15"/>
    </font>
    <font>
      <color rgb="00667085"/>
      <sz val="9"/>
    </font>
    <font>
      <b val="1"/>
      <color rgb="001F4E79"/>
    </font>
    <font>
      <b val="1"/>
      <color rgb="00FFFFFF"/>
    </font>
    <font>
      <color rgb="001F2937"/>
    </font>
    <font>
      <name val="Calibri"/>
      <family val="2"/>
      <color theme="10"/>
      <sz val="12"/>
      <scheme val="minor"/>
    </font>
    <font>
      <b val="1"/>
      <color rgb="001F4E79"/>
      <sz val="12"/>
    </font>
    <font>
      <b val="1"/>
      <color rgb="001F2937"/>
    </font>
  </fonts>
  <fills count="15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FFF7E6"/>
      </patternFill>
    </fill>
    <fill>
      <patternFill patternType="solid">
        <fgColor rgb="00EDF6FC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CFCFD"/>
      </patternFill>
    </fill>
    <fill>
      <patternFill patternType="solid">
        <fgColor rgb="00475467"/>
      </patternFill>
    </fill>
    <fill>
      <patternFill patternType="solid">
        <fgColor rgb="000E6B3D"/>
      </patternFill>
    </fill>
    <fill>
      <patternFill patternType="solid">
        <fgColor rgb="00EAF2FF"/>
      </patternFill>
    </fill>
    <fill>
      <patternFill patternType="solid">
        <fgColor rgb="00F2F4F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CBD5E1"/>
      </bottom>
    </border>
    <border>
      <left style="thin">
        <color rgb="00B6C2CF"/>
      </left>
      <right style="thin">
        <color rgb="00B6C2CF"/>
      </right>
      <top style="thin">
        <color rgb="00B6C2CF"/>
      </top>
      <bottom style="thin">
        <color rgb="00B6C2CF"/>
      </bottom>
    </border>
    <border>
      <left style="thin">
        <color rgb="00EAECF0"/>
      </left>
      <right style="thin">
        <color rgb="00EAECF0"/>
      </right>
      <top style="thin">
        <color rgb="00EAECF0"/>
      </top>
      <bottom style="thin">
        <color rgb="00EAECF0"/>
      </bottom>
    </border>
    <border>
      <top style="medium">
        <color rgb="001F4E79"/>
      </top>
      <bottom style="thin">
        <color rgb="00D9E2EC"/>
      </bottom>
    </border>
  </borders>
  <cellStyleXfs count="2">
    <xf numFmtId="0" fontId="0" fillId="0" borderId="0"/>
    <xf numFmtId="0" fontId="9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/>
    </xf>
    <xf numFmtId="0" fontId="7" fillId="5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top" wrapText="1"/>
    </xf>
    <xf numFmtId="164" fontId="8" fillId="0" borderId="4" applyAlignment="1" pivotButton="0" quotePrefix="0" xfId="0">
      <alignment vertical="top" wrapText="1"/>
    </xf>
    <xf numFmtId="10" fontId="8" fillId="0" borderId="4" applyAlignment="1" pivotButton="0" quotePrefix="0" xfId="0">
      <alignment vertical="top" wrapText="1"/>
    </xf>
    <xf numFmtId="0" fontId="8" fillId="2" borderId="4" applyAlignment="1" pivotButton="0" quotePrefix="0" xfId="0">
      <alignment vertical="top" wrapText="1"/>
    </xf>
    <xf numFmtId="0" fontId="8" fillId="6" borderId="4" applyAlignment="1" pivotButton="0" quotePrefix="0" xfId="0">
      <alignment vertical="top" wrapText="1"/>
    </xf>
    <xf numFmtId="0" fontId="8" fillId="9" borderId="4" applyAlignment="1" pivotButton="0" quotePrefix="0" xfId="0">
      <alignment vertical="top" wrapText="1"/>
    </xf>
    <xf numFmtId="164" fontId="8" fillId="9" borderId="4" applyAlignment="1" pivotButton="0" quotePrefix="0" xfId="0">
      <alignment vertical="top" wrapText="1"/>
    </xf>
    <xf numFmtId="10" fontId="8" fillId="9" borderId="4" applyAlignment="1" pivotButton="0" quotePrefix="0" xfId="0">
      <alignment vertical="top" wrapText="1"/>
    </xf>
    <xf numFmtId="0" fontId="8" fillId="8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0" borderId="0" applyAlignment="1" pivotButton="0" quotePrefix="0" xfId="1">
      <alignment horizontal="center"/>
    </xf>
    <xf numFmtId="0" fontId="7" fillId="10" borderId="3" applyAlignment="1" pivotButton="0" quotePrefix="0" xfId="0">
      <alignment horizontal="center" vertical="center"/>
    </xf>
    <xf numFmtId="0" fontId="0" fillId="0" borderId="3" pivotButton="0" quotePrefix="0" xfId="0"/>
    <xf numFmtId="0" fontId="7" fillId="5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vertical="top" wrapText="1"/>
    </xf>
    <xf numFmtId="164" fontId="6" fillId="2" borderId="5" applyAlignment="1" pivotButton="0" quotePrefix="0" xfId="0">
      <alignment vertical="top" wrapText="1"/>
    </xf>
    <xf numFmtId="10" fontId="6" fillId="2" borderId="5" applyAlignment="1" pivotButton="0" quotePrefix="0" xfId="0">
      <alignment vertical="top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12" borderId="4" applyAlignment="1" pivotButton="0" quotePrefix="0" xfId="0">
      <alignment vertical="top" wrapText="1"/>
    </xf>
    <xf numFmtId="164" fontId="11" fillId="12" borderId="4" applyAlignment="1" pivotButton="0" quotePrefix="0" xfId="0">
      <alignment vertical="top" wrapText="1"/>
    </xf>
    <xf numFmtId="10" fontId="11" fillId="12" borderId="4" applyAlignment="1" pivotButton="0" quotePrefix="0" xfId="0">
      <alignment vertical="top" wrapText="1"/>
    </xf>
    <xf numFmtId="0" fontId="11" fillId="13" borderId="4" applyAlignment="1" pivotButton="0" quotePrefix="0" xfId="0">
      <alignment vertical="top" wrapText="1"/>
    </xf>
    <xf numFmtId="164" fontId="11" fillId="13" borderId="4" applyAlignment="1" pivotButton="0" quotePrefix="0" xfId="0">
      <alignment vertical="top" wrapText="1"/>
    </xf>
    <xf numFmtId="10" fontId="11" fillId="13" borderId="4" applyAlignment="1" pivotButton="0" quotePrefix="0" xfId="0">
      <alignment vertical="top" wrapText="1"/>
    </xf>
    <xf numFmtId="0" fontId="0" fillId="14" borderId="4" applyAlignment="1" pivotButton="0" quotePrefix="0" xfId="0">
      <alignment vertical="top" wrapText="1"/>
    </xf>
    <xf numFmtId="164" fontId="0" fillId="14" borderId="4" applyAlignment="1" pivotButton="0" quotePrefix="0" xfId="0">
      <alignment vertical="top" wrapText="1"/>
    </xf>
    <xf numFmtId="10" fontId="0" fillId="14" borderId="4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164" fontId="0" fillId="2" borderId="4" applyAlignment="1" pivotButton="0" quotePrefix="0" xfId="0">
      <alignment vertical="top" wrapText="1"/>
    </xf>
    <xf numFmtId="10" fontId="0" fillId="2" borderId="4" applyAlignment="1" pivotButton="0" quotePrefix="0" xfId="0">
      <alignment vertical="top" wrapText="1"/>
    </xf>
    <xf numFmtId="0" fontId="11" fillId="7" borderId="4" applyAlignment="1" pivotButton="0" quotePrefix="0" xfId="0">
      <alignment vertical="top" wrapText="1"/>
    </xf>
    <xf numFmtId="164" fontId="11" fillId="7" borderId="4" applyAlignment="1" pivotButton="0" quotePrefix="0" xfId="0">
      <alignment vertical="top" wrapText="1"/>
    </xf>
    <xf numFmtId="10" fontId="11" fillId="7" borderId="4" applyAlignment="1" pivotButton="0" quotePrefix="0" xfId="0">
      <alignment vertical="top" wrapText="1"/>
    </xf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xecutiveRanking" displayName="ExecutiveRanking" ref="A10:G13" headerRowCount="1">
  <autoFilter ref="A10:G13"/>
  <tableColumns count="7">
    <tableColumn id="1" name="Posición"/>
    <tableColumn id="2" name="Contratista"/>
    <tableColumn id="3" name="Monto total"/>
    <tableColumn id="4" name="Dif. vs menor"/>
    <tableColumn id="5" name="Desv. promedio"/>
    <tableColumn id="6" name="Riesgo"/>
    <tableColumn id="7" name="Semáfo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tidasCriticasTable" displayName="PartidasCriticasTable" ref="A5:L9" headerRowCount="1">
  <autoFilter ref="A5:L9"/>
  <tableColumns count="12">
    <tableColumn id="1" name="Prioridad"/>
    <tableColumn id="2" name="Contratista"/>
    <tableColumn id="3" name="Partida"/>
    <tableColumn id="4" name="Descripción"/>
    <tableColumn id="5" name="Familia"/>
    <tableColumn id="6" name="Impacto"/>
    <tableColumn id="7" name="Desv. %"/>
    <tableColumn id="8" name="Peso %"/>
    <tableColumn id="9" name="Motivo"/>
    <tableColumn id="10" name="Acción sugerida"/>
    <tableColumn id="11" name="Estado revisión"/>
    <tableColumn id="12" name="Respons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sumosCriticosTable" displayName="InsumosCriticosTable" ref="A5:M9" headerRowCount="1">
  <autoFilter ref="A5:M9"/>
  <tableColumns count="13">
    <tableColumn id="1" name="Contratista"/>
    <tableColumn id="2" name="Partida"/>
    <tableColumn id="3" name="Tipo insumo"/>
    <tableColumn id="4" name="Insumo"/>
    <tableColumn id="5" name="Unidad"/>
    <tableColumn id="6" name="Cantidad"/>
    <tableColumn id="7" name="P.U. contratista"/>
    <tableColumn id="8" name="P.U. referencia"/>
    <tableColumn id="9" name="Desv. %"/>
    <tableColumn id="10" name="Impacto"/>
    <tableColumn id="11" name="Fuente data"/>
    <tableColumn id="12" name="Alerta"/>
    <tableColumn id="13" name="Observ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cionesTable" displayName="ValidacionesTable" ref="A5:J9" headerRowCount="1">
  <autoFilter ref="A5:J9"/>
  <tableColumns count="10">
    <tableColumn id="1" name="Severidad"/>
    <tableColumn id="2" name="Tipo"/>
    <tableColumn id="3" name="Contratista"/>
    <tableColumn id="4" name="Partida"/>
    <tableColumn id="5" name="Campo"/>
    <tableColumn id="6" name="Valor detectado"/>
    <tableColumn id="7" name="Problema"/>
    <tableColumn id="8" name="Impacto potencial"/>
    <tableColumn id="9" name="Acción sugerida"/>
    <tableColumn id="10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nalisisIATable" displayName="AnalisisIATable" ref="A5:B10" headerRowCount="1">
  <autoFilter ref="A5:B10"/>
  <tableColumns count="2">
    <tableColumn id="1" name="Sección"/>
    <tableColumn id="2" name="Conten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parativa'!A1" TargetMode="External" Id="rId1"/><Relationship Type="http://schemas.openxmlformats.org/officeDocument/2006/relationships/hyperlink" Target="#'Detalle APU'!A1" TargetMode="External" Id="rId2"/><Relationship Type="http://schemas.openxmlformats.org/officeDocument/2006/relationships/hyperlink" Target="#'Partidas Cr&#237;ticas'!A1" TargetMode="External" Id="rId3"/><Relationship Type="http://schemas.openxmlformats.org/officeDocument/2006/relationships/hyperlink" Target="#'Insumos Cr&#237;ticos'!A1" TargetMode="External" Id="rId4"/><Relationship Type="http://schemas.openxmlformats.org/officeDocument/2006/relationships/hyperlink" Target="#'Validaciones'!A1" TargetMode="External" Id="rId5"/><Relationship Type="http://schemas.openxmlformats.org/officeDocument/2006/relationships/table" Target="/xl/tables/table1.xml" Id="rId6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Resumen Ejecutivo</t>
        </is>
      </c>
    </row>
    <row r="2" ht="34" customHeight="1">
      <c r="A2" s="2" t="inlineStr">
        <is>
          <t>Vista gerencial: KPIs, ranking, hallazgos y navegación interna del reporte.</t>
        </is>
      </c>
    </row>
    <row r="4">
      <c r="A4" s="3" t="inlineStr">
        <is>
          <t>Mejor oferta</t>
        </is>
      </c>
      <c r="B4" s="4" t="n"/>
      <c r="C4" s="5" t="inlineStr">
        <is>
          <t>Riesgo global</t>
        </is>
      </c>
      <c r="D4" s="6" t="n"/>
      <c r="E4" s="3" t="inlineStr">
        <is>
          <t>Partidas críticas</t>
        </is>
      </c>
      <c r="F4" s="4" t="n"/>
      <c r="G4" s="3" t="inlineStr">
        <is>
          <t>Sin referencia</t>
        </is>
      </c>
      <c r="H4" s="4" t="n"/>
      <c r="I4" s="3" t="inlineStr">
        <is>
          <t>Modo</t>
        </is>
      </c>
      <c r="J4" s="4" t="n"/>
    </row>
    <row r="5">
      <c r="A5" s="7" t="n">
        <v>1180000</v>
      </c>
      <c r="B5" s="4" t="n"/>
      <c r="C5" s="8" t="inlineStr">
        <is>
          <t>Amarillo</t>
        </is>
      </c>
      <c r="D5" s="6" t="n"/>
      <c r="E5" s="9" t="n">
        <v>18</v>
      </c>
      <c r="F5" s="4" t="n"/>
      <c r="G5" s="9" t="n">
        <v>14</v>
      </c>
      <c r="H5" s="4" t="n"/>
      <c r="I5" s="10" t="inlineStr">
        <is>
          <t>Multi</t>
        </is>
      </c>
      <c r="J5" s="4" t="n"/>
    </row>
    <row r="6">
      <c r="A6" s="11" t="inlineStr">
        <is>
          <t>Contratista B</t>
        </is>
      </c>
      <c r="B6" s="4" t="n"/>
      <c r="C6" s="12" t="inlineStr">
        <is>
          <t>Con advertencias</t>
        </is>
      </c>
      <c r="D6" s="6" t="n"/>
      <c r="E6" s="11" t="inlineStr">
        <is>
          <t>Prioridad alta/media</t>
        </is>
      </c>
      <c r="F6" s="4" t="n"/>
      <c r="G6" s="11" t="inlineStr">
        <is>
          <t>Revisar alcance</t>
        </is>
      </c>
      <c r="H6" s="4" t="n"/>
      <c r="I6" s="11" t="inlineStr">
        <is>
          <t>V0 mock</t>
        </is>
      </c>
      <c r="J6" s="4" t="n"/>
    </row>
    <row r="9" ht="22" customHeight="1">
      <c r="A9" s="13" t="inlineStr">
        <is>
          <t>Ranking económico</t>
        </is>
      </c>
    </row>
    <row r="10" ht="36" customHeight="1">
      <c r="A10" s="14" t="inlineStr">
        <is>
          <t>Posición</t>
        </is>
      </c>
      <c r="B10" s="14" t="inlineStr">
        <is>
          <t>Contratista</t>
        </is>
      </c>
      <c r="C10" s="14" t="inlineStr">
        <is>
          <t>Monto total</t>
        </is>
      </c>
      <c r="D10" s="14" t="inlineStr">
        <is>
          <t>Dif. vs menor</t>
        </is>
      </c>
      <c r="E10" s="14" t="inlineStr">
        <is>
          <t>Desv. promedio</t>
        </is>
      </c>
      <c r="F10" s="14" t="inlineStr">
        <is>
          <t>Riesgo</t>
        </is>
      </c>
      <c r="G10" s="14" t="inlineStr">
        <is>
          <t>Semáforo</t>
        </is>
      </c>
    </row>
    <row r="11">
      <c r="A11" s="15" t="n">
        <v>1</v>
      </c>
      <c r="B11" s="15" t="inlineStr">
        <is>
          <t>Contratista B</t>
        </is>
      </c>
      <c r="C11" s="16" t="n">
        <v>1180000</v>
      </c>
      <c r="D11" s="17" t="n">
        <v>0</v>
      </c>
      <c r="E11" s="17" t="n">
        <v>-0.078</v>
      </c>
      <c r="F11" s="18" t="inlineStr">
        <is>
          <t>Bajo</t>
        </is>
      </c>
      <c r="G11" s="19" t="inlineStr">
        <is>
          <t>Verde</t>
        </is>
      </c>
    </row>
    <row r="12">
      <c r="A12" s="20" t="n">
        <v>2</v>
      </c>
      <c r="B12" s="20" t="inlineStr">
        <is>
          <t>Contratista A</t>
        </is>
      </c>
      <c r="C12" s="21" t="n">
        <v>1250000</v>
      </c>
      <c r="D12" s="22" t="n">
        <v>0.059</v>
      </c>
      <c r="E12" s="22" t="n">
        <v>0.024</v>
      </c>
      <c r="F12" s="20" t="inlineStr">
        <is>
          <t>Medio</t>
        </is>
      </c>
      <c r="G12" s="20" t="inlineStr">
        <is>
          <t>Amarillo</t>
        </is>
      </c>
    </row>
    <row r="13">
      <c r="A13" s="15" t="n">
        <v>3</v>
      </c>
      <c r="B13" s="15" t="inlineStr">
        <is>
          <t>Contratista C</t>
        </is>
      </c>
      <c r="C13" s="16" t="n">
        <v>1410000</v>
      </c>
      <c r="D13" s="17" t="n">
        <v>0.195</v>
      </c>
      <c r="E13" s="17" t="n">
        <v>0.143</v>
      </c>
      <c r="F13" s="23" t="inlineStr">
        <is>
          <t>Alto</t>
        </is>
      </c>
      <c r="G13" s="23" t="inlineStr">
        <is>
          <t>Rojo</t>
        </is>
      </c>
    </row>
    <row r="16" ht="22" customHeight="1">
      <c r="A16" s="13" t="inlineStr">
        <is>
          <t>Hallazgos y recomendaciones</t>
        </is>
      </c>
    </row>
    <row r="17" ht="30" customHeight="1">
      <c r="A17" s="24" t="inlineStr">
        <is>
          <t>Hallazgo</t>
        </is>
      </c>
      <c r="B17" s="25" t="inlineStr">
        <is>
          <t>Cinco partidas explican la mayor parte de la diferencia económica entre contratistas.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</row>
    <row r="18" ht="30" customHeight="1">
      <c r="A18" s="24" t="inlineStr">
        <is>
          <t>Riesgo</t>
        </is>
      </c>
      <c r="B18" s="25" t="inlineStr">
        <is>
          <t>Existen insumos y porcentajes de referencia que deben verificarse en Detalle APU antes de negociar.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 ht="30" customHeight="1">
      <c r="A19" s="24" t="inlineStr">
        <is>
          <t>Recomendación</t>
        </is>
      </c>
      <c r="B19" s="25" t="inlineStr">
        <is>
          <t>Priorizar revisión por impacto económico, no solo por desviación porcentual.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30" customHeight="1">
      <c r="A20" s="24" t="inlineStr">
        <is>
          <t>Limitación</t>
        </is>
      </c>
      <c r="B20" s="25" t="inlineStr">
        <is>
          <t>V0 usa datos mockeados; V1 debe leer la matriz/APU real de cada contratista.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</row>
    <row r="23" ht="22" customHeight="1">
      <c r="A23" s="13" t="inlineStr">
        <is>
          <t>Navegación</t>
        </is>
      </c>
    </row>
    <row r="24">
      <c r="A24" s="26" t="inlineStr">
        <is>
          <t>Comparativa</t>
        </is>
      </c>
      <c r="B24" s="26" t="inlineStr">
        <is>
          <t>Detalle APU</t>
        </is>
      </c>
      <c r="C24" s="26" t="inlineStr">
        <is>
          <t>Partidas Críticas</t>
        </is>
      </c>
      <c r="D24" s="26" t="inlineStr">
        <is>
          <t>Insumos Críticos</t>
        </is>
      </c>
      <c r="E24" s="26" t="inlineStr">
        <is>
          <t>Validaciones</t>
        </is>
      </c>
    </row>
  </sheetData>
  <mergeCells count="24">
    <mergeCell ref="A23:J23"/>
    <mergeCell ref="C6:D6"/>
    <mergeCell ref="I6:J6"/>
    <mergeCell ref="C5:D5"/>
    <mergeCell ref="E5:F5"/>
    <mergeCell ref="B17:J17"/>
    <mergeCell ref="A6:B6"/>
    <mergeCell ref="C4:D4"/>
    <mergeCell ref="E4:F4"/>
    <mergeCell ref="B19:J19"/>
    <mergeCell ref="A9:J9"/>
    <mergeCell ref="G6:H6"/>
    <mergeCell ref="A1:J1"/>
    <mergeCell ref="E6:F6"/>
    <mergeCell ref="B20:J20"/>
    <mergeCell ref="A5:B5"/>
    <mergeCell ref="G5:H5"/>
    <mergeCell ref="I5:J5"/>
    <mergeCell ref="A16:J16"/>
    <mergeCell ref="A4:B4"/>
    <mergeCell ref="G4:H4"/>
    <mergeCell ref="I4:J4"/>
    <mergeCell ref="B18:J18"/>
    <mergeCell ref="A2:J2"/>
  </mergeCells>
  <hyperlinks>
    <hyperlink xmlns:r="http://schemas.openxmlformats.org/officeDocument/2006/relationships" ref="A24" r:id="rId1"/>
    <hyperlink xmlns:r="http://schemas.openxmlformats.org/officeDocument/2006/relationships" ref="B24" r:id="rId2"/>
    <hyperlink xmlns:r="http://schemas.openxmlformats.org/officeDocument/2006/relationships" ref="C24" r:id="rId3"/>
    <hyperlink xmlns:r="http://schemas.openxmlformats.org/officeDocument/2006/relationships" ref="D24" r:id="rId4"/>
    <hyperlink xmlns:r="http://schemas.openxmlformats.org/officeDocument/2006/relationships" ref="E24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4" customWidth="1" min="2" max="2"/>
    <col width="12" customWidth="1" min="3" max="3"/>
    <col width="11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</cols>
  <sheetData>
    <row r="1" ht="24" customHeight="1">
      <c r="A1" s="27" t="inlineStr">
        <is>
          <t>Servicios / Cotización</t>
        </is>
      </c>
      <c r="B1" s="28" t="n"/>
      <c r="C1" s="28" t="n"/>
      <c r="D1" s="28" t="n"/>
      <c r="E1" s="29" t="inlineStr">
        <is>
          <t>Proveedor A</t>
        </is>
      </c>
      <c r="F1" s="28" t="n"/>
      <c r="G1" s="28" t="n"/>
      <c r="H1" s="28" t="n"/>
      <c r="I1" s="28" t="n"/>
      <c r="J1" s="28" t="n"/>
      <c r="K1" s="30" t="inlineStr">
        <is>
          <t>Proveedor B</t>
        </is>
      </c>
      <c r="L1" s="28" t="n"/>
      <c r="M1" s="28" t="n"/>
      <c r="N1" s="28" t="n"/>
      <c r="O1" s="28" t="n"/>
      <c r="P1" s="28" t="n"/>
    </row>
    <row r="2" ht="36" customHeight="1">
      <c r="A2" s="31" t="inlineStr">
        <is>
          <t>Partida</t>
        </is>
      </c>
      <c r="B2" s="31" t="inlineStr">
        <is>
          <t>Descripción</t>
        </is>
      </c>
      <c r="C2" s="31" t="inlineStr">
        <is>
          <t>Unidad</t>
        </is>
      </c>
      <c r="D2" s="31" t="inlineStr">
        <is>
          <t>Cantidad</t>
        </is>
      </c>
      <c r="E2" s="14" t="inlineStr">
        <is>
          <t>P.U.</t>
        </is>
      </c>
      <c r="F2" s="14" t="inlineStr">
        <is>
          <t>Importe</t>
        </is>
      </c>
      <c r="G2" s="14" t="inlineStr">
        <is>
          <t>% Part.</t>
        </is>
      </c>
      <c r="H2" s="14" t="inlineStr">
        <is>
          <t>% ajuste</t>
        </is>
      </c>
      <c r="I2" s="14" t="inlineStr">
        <is>
          <t>Mercado P.U.</t>
        </is>
      </c>
      <c r="J2" s="14" t="inlineStr">
        <is>
          <t>Mercado Importe</t>
        </is>
      </c>
      <c r="K2" s="32" t="inlineStr">
        <is>
          <t>P.U.</t>
        </is>
      </c>
      <c r="L2" s="32" t="inlineStr">
        <is>
          <t>Importe</t>
        </is>
      </c>
      <c r="M2" s="32" t="inlineStr">
        <is>
          <t>% Part.</t>
        </is>
      </c>
      <c r="N2" s="32" t="inlineStr">
        <is>
          <t>% ajuste</t>
        </is>
      </c>
      <c r="O2" s="32" t="inlineStr">
        <is>
          <t>Mercado P.U.</t>
        </is>
      </c>
      <c r="P2" s="32" t="inlineStr">
        <is>
          <t>Mercado Importe</t>
        </is>
      </c>
    </row>
    <row r="3">
      <c r="A3" s="15" t="inlineStr">
        <is>
          <t>FLEX41.11</t>
        </is>
      </c>
      <c r="B3" s="15" t="inlineStr">
        <is>
          <t>Instalación de bomba centrífuga FRISTAM. Incluye materiales, mano de obra, herramientas, equipos, traslados, limpieza y puesta en sitio.</t>
        </is>
      </c>
      <c r="C3" s="15" t="inlineStr">
        <is>
          <t>PZA</t>
        </is>
      </c>
      <c r="D3" s="15" t="n">
        <v>1</v>
      </c>
      <c r="E3" s="16" t="n">
        <v>19187.17</v>
      </c>
      <c r="F3" s="16">
        <f>D3*E3</f>
        <v/>
      </c>
      <c r="G3" s="17">
        <f>F3/$F$7</f>
        <v/>
      </c>
      <c r="H3" s="17">
        <f>IF(I3=0,0,E3/I3-1)</f>
        <v/>
      </c>
      <c r="I3" s="16" t="n">
        <v>7238.26</v>
      </c>
      <c r="J3" s="16">
        <f>D3*I3</f>
        <v/>
      </c>
      <c r="K3" s="16" t="n">
        <v>15842.49</v>
      </c>
      <c r="L3" s="16">
        <f>D3*K3</f>
        <v/>
      </c>
      <c r="M3" s="17">
        <f>L3/$L$7</f>
        <v/>
      </c>
      <c r="N3" s="17">
        <f>IF(O3=0,0,K3/O3-1)</f>
        <v/>
      </c>
      <c r="O3" s="16" t="n">
        <v>6618.23</v>
      </c>
      <c r="P3" s="16">
        <f>D3*O3</f>
        <v/>
      </c>
    </row>
    <row r="4">
      <c r="A4" s="20" t="inlineStr">
        <is>
          <t>FLEX41.12</t>
        </is>
      </c>
      <c r="B4" s="20" t="inlineStr">
        <is>
          <t>Suministro e instalación de guarda protectora para bomba en acero inoxidable 304.</t>
        </is>
      </c>
      <c r="C4" s="20" t="inlineStr">
        <is>
          <t>PZA</t>
        </is>
      </c>
      <c r="D4" s="20" t="n">
        <v>1</v>
      </c>
      <c r="E4" s="21" t="n">
        <v>16437.07</v>
      </c>
      <c r="F4" s="21">
        <f>D4*E4</f>
        <v/>
      </c>
      <c r="G4" s="22">
        <f>F4/$F$7</f>
        <v/>
      </c>
      <c r="H4" s="22">
        <f>IF(I4=0,0,E4/I4-1)</f>
        <v/>
      </c>
      <c r="I4" s="21" t="n">
        <v>3523.68</v>
      </c>
      <c r="J4" s="21">
        <f>D4*I4</f>
        <v/>
      </c>
      <c r="K4" s="21" t="n">
        <v>13678.38</v>
      </c>
      <c r="L4" s="21">
        <f>D4*K4</f>
        <v/>
      </c>
      <c r="M4" s="22">
        <f>L4/$L$7</f>
        <v/>
      </c>
      <c r="N4" s="22">
        <f>IF(O4=0,0,K4/O4-1)</f>
        <v/>
      </c>
      <c r="O4" s="21" t="n">
        <v>3208.53</v>
      </c>
      <c r="P4" s="21">
        <f>D4*O4</f>
        <v/>
      </c>
    </row>
    <row r="5">
      <c r="A5" s="15" t="inlineStr">
        <is>
          <t>FLEX41.20</t>
        </is>
      </c>
      <c r="B5" s="15" t="inlineStr">
        <is>
          <t>Instalación de válvula doble asiento ALFA LAVAL 2-1/2 pulg. Incluye soportes, anclajes, izajes, acarreo y limpieza.</t>
        </is>
      </c>
      <c r="C5" s="15" t="inlineStr">
        <is>
          <t>PZA</t>
        </is>
      </c>
      <c r="D5" s="15" t="n">
        <v>1</v>
      </c>
      <c r="E5" s="16" t="n">
        <v>38976.81</v>
      </c>
      <c r="F5" s="16">
        <f>D5*E5</f>
        <v/>
      </c>
      <c r="G5" s="17">
        <f>F5/$F$7</f>
        <v/>
      </c>
      <c r="H5" s="17">
        <f>IF(I5=0,0,E5/I5-1)</f>
        <v/>
      </c>
      <c r="I5" s="16" t="n">
        <v>6727.88</v>
      </c>
      <c r="J5" s="16">
        <f>D5*I5</f>
        <v/>
      </c>
      <c r="K5" s="16" t="n">
        <v>19016.66</v>
      </c>
      <c r="L5" s="16">
        <f>D5*K5</f>
        <v/>
      </c>
      <c r="M5" s="17">
        <f>L5/$L$7</f>
        <v/>
      </c>
      <c r="N5" s="17">
        <f>IF(O5=0,0,K5/O5-1)</f>
        <v/>
      </c>
      <c r="O5" s="16" t="n">
        <v>6208.82</v>
      </c>
      <c r="P5" s="16">
        <f>D5*O5</f>
        <v/>
      </c>
    </row>
    <row r="6">
      <c r="A6" s="20" t="inlineStr">
        <is>
          <t>FLEX41.25</t>
        </is>
      </c>
      <c r="B6" s="20" t="inlineStr">
        <is>
          <t>Instalación de válvula check ALFA LAVAL 3 pulg. Incluye soportería, anclajes, maniobras, mano de obra y limpieza final.</t>
        </is>
      </c>
      <c r="C6" s="20" t="inlineStr">
        <is>
          <t>PZA</t>
        </is>
      </c>
      <c r="D6" s="20" t="n">
        <v>1</v>
      </c>
      <c r="E6" s="21" t="n">
        <v>39030.7</v>
      </c>
      <c r="F6" s="21">
        <f>D6*E6</f>
        <v/>
      </c>
      <c r="G6" s="22">
        <f>F6/$F$7</f>
        <v/>
      </c>
      <c r="H6" s="22">
        <f>IF(I6=0,0,E6/I6-1)</f>
        <v/>
      </c>
      <c r="I6" s="21" t="n">
        <v>6684.68</v>
      </c>
      <c r="J6" s="21">
        <f>D6*I6</f>
        <v/>
      </c>
      <c r="K6" s="21" t="n">
        <v>19066.29</v>
      </c>
      <c r="L6" s="21">
        <f>D6*K6</f>
        <v/>
      </c>
      <c r="M6" s="22">
        <f>L6/$L$7</f>
        <v/>
      </c>
      <c r="N6" s="22">
        <f>IF(O6=0,0,K6/O6-1)</f>
        <v/>
      </c>
      <c r="O6" s="21" t="n">
        <v>6168.96</v>
      </c>
      <c r="P6" s="21">
        <f>D6*O6</f>
        <v/>
      </c>
    </row>
    <row r="7">
      <c r="A7" s="33" t="inlineStr">
        <is>
          <t>TOTAL</t>
        </is>
      </c>
      <c r="B7" s="33" t="inlineStr"/>
      <c r="C7" s="33" t="inlineStr"/>
      <c r="D7" s="33" t="inlineStr"/>
      <c r="E7" s="34">
        <f>AVERAGE(E3:E6)</f>
        <v/>
      </c>
      <c r="F7" s="34">
        <f>SUM(F3:F6)</f>
        <v/>
      </c>
      <c r="G7" s="35" t="inlineStr"/>
      <c r="H7" s="35" t="inlineStr"/>
      <c r="I7" s="34">
        <f>AVERAGE(I3:I6)</f>
        <v/>
      </c>
      <c r="J7" s="34">
        <f>SUM(J3:J6)</f>
        <v/>
      </c>
      <c r="K7" s="34">
        <f>AVERAGE(K3:K6)</f>
        <v/>
      </c>
      <c r="L7" s="34">
        <f>SUM(L3:L6)</f>
        <v/>
      </c>
      <c r="M7" s="35" t="inlineStr"/>
      <c r="N7" s="35" t="inlineStr"/>
      <c r="O7" s="34">
        <f>AVERAGE(O3:O6)</f>
        <v/>
      </c>
      <c r="P7" s="34">
        <f>SUM(P3:P6)</f>
        <v/>
      </c>
    </row>
    <row r="10" ht="22" customHeight="1">
      <c r="A10" s="13" t="inlineStr">
        <is>
          <t>Resumen individual por proveedor</t>
        </is>
      </c>
    </row>
    <row r="11">
      <c r="A11" s="36" t="inlineStr">
        <is>
          <t>Proveedor A</t>
        </is>
      </c>
    </row>
    <row r="12" ht="28" customHeight="1">
      <c r="A12" s="37" t="inlineStr">
        <is>
          <t>• Las partidas FLEX41.20 y FLEX41.25 concentran la mayor proporción del importe cotizado.</t>
        </is>
      </c>
    </row>
    <row r="13" ht="28" customHeight="1">
      <c r="A13" s="37" t="inlineStr">
        <is>
          <t>• El ajuste global contra mercado se calcula contra la referencia generada para su propia matriz/APU.</t>
        </is>
      </c>
    </row>
    <row r="14" ht="28" customHeight="1">
      <c r="A14" s="37" t="inlineStr">
        <is>
          <t>• Las desviaciones deben validarse con el tab Detalle APU, porque el origen puede estar en insumos, rendimientos o porcentajes.</t>
        </is>
      </c>
    </row>
    <row r="16">
      <c r="A16" s="36" t="inlineStr">
        <is>
          <t>Proveedor B</t>
        </is>
      </c>
    </row>
    <row r="17" ht="28" customHeight="1">
      <c r="A17" s="37" t="inlineStr">
        <is>
          <t>• La propuesta es menor en monto total, pero conserva partidas con ajuste relevante contra mercado.</t>
        </is>
      </c>
    </row>
    <row r="18" ht="28" customHeight="1">
      <c r="A18" s="37" t="inlineStr">
        <is>
          <t>• El análisis debe revisar si las diferencias contra Proveedor A obedecen a alcance, rendimiento o precios base.</t>
        </is>
      </c>
    </row>
    <row r="19" ht="28" customHeight="1">
      <c r="A19" s="37" t="inlineStr">
        <is>
          <t>• La comparación de mercado se muestra por proveedor, no como una referencia única universal.</t>
        </is>
      </c>
    </row>
  </sheetData>
  <autoFilter ref="A2:P7"/>
  <mergeCells count="12">
    <mergeCell ref="A11:P11"/>
    <mergeCell ref="A1:D1"/>
    <mergeCell ref="A10:P10"/>
    <mergeCell ref="E1:J1"/>
    <mergeCell ref="K1:P1"/>
    <mergeCell ref="A13:P13"/>
    <mergeCell ref="A14:P14"/>
    <mergeCell ref="A17:P17"/>
    <mergeCell ref="A18:P18"/>
    <mergeCell ref="A12:P12"/>
    <mergeCell ref="A16:P16"/>
    <mergeCell ref="A19:P19"/>
  </mergeCells>
  <conditionalFormatting sqref="H3:H6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N3:N6">
    <cfRule type="colorScale" priority="2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V2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16" customWidth="1" min="4" max="4"/>
    <col width="14" customWidth="1" min="5" max="5"/>
    <col width="11" customWidth="1" min="6" max="6"/>
    <col width="12" customWidth="1" min="7" max="7"/>
    <col width="16" customWidth="1" min="8" max="8"/>
    <col width="12" customWidth="1" min="9" max="9"/>
    <col width="16" customWidth="1" min="10" max="10"/>
    <col width="11" customWidth="1" min="11" max="11"/>
    <col width="12" customWidth="1" min="12" max="12"/>
    <col width="16" customWidth="1" min="13" max="13"/>
    <col width="14" customWidth="1" min="14" max="14"/>
    <col width="11" customWidth="1" min="15" max="15"/>
    <col width="12" customWidth="1" min="16" max="16"/>
    <col width="16" customWidth="1" min="17" max="17"/>
    <col width="12" customWidth="1" min="18" max="18"/>
    <col width="16" customWidth="1" min="19" max="19"/>
    <col width="11" customWidth="1" min="20" max="20"/>
    <col width="12" customWidth="1" min="21" max="21"/>
    <col width="16" customWidth="1" min="22" max="22"/>
  </cols>
  <sheetData>
    <row r="1" ht="24" customHeight="1">
      <c r="A1" s="27" t="inlineStr">
        <is>
          <t>Estructura APU</t>
        </is>
      </c>
      <c r="B1" s="28" t="n"/>
      <c r="C1" s="28" t="n"/>
      <c r="D1" s="28" t="n"/>
      <c r="E1" s="29" t="inlineStr">
        <is>
          <t>Proveedor A</t>
        </is>
      </c>
      <c r="F1" s="28" t="n"/>
      <c r="G1" s="28" t="n"/>
      <c r="H1" s="28" t="n"/>
      <c r="I1" s="28" t="n"/>
      <c r="J1" s="28" t="n"/>
      <c r="K1" s="28" t="n"/>
      <c r="L1" s="28" t="n"/>
      <c r="M1" s="28" t="n"/>
      <c r="N1" s="30" t="inlineStr">
        <is>
          <t>Proveedor B</t>
        </is>
      </c>
      <c r="O1" s="28" t="n"/>
      <c r="P1" s="28" t="n"/>
      <c r="Q1" s="28" t="n"/>
      <c r="R1" s="28" t="n"/>
      <c r="S1" s="28" t="n"/>
      <c r="T1" s="28" t="n"/>
      <c r="U1" s="28" t="n"/>
      <c r="V1" s="28" t="n"/>
    </row>
    <row r="2" ht="36" customHeight="1">
      <c r="A2" s="31" t="inlineStr">
        <is>
          <t>Código</t>
        </is>
      </c>
      <c r="B2" s="31" t="inlineStr">
        <is>
          <t>Concepto / insumo</t>
        </is>
      </c>
      <c r="C2" s="31" t="inlineStr">
        <is>
          <t>Unidad</t>
        </is>
      </c>
      <c r="D2" s="31" t="inlineStr">
        <is>
          <t>Sección</t>
        </is>
      </c>
      <c r="E2" s="14" t="inlineStr">
        <is>
          <t>P. Unitario</t>
        </is>
      </c>
      <c r="F2" s="14" t="inlineStr">
        <is>
          <t>Op.</t>
        </is>
      </c>
      <c r="G2" s="14" t="inlineStr">
        <is>
          <t>Cantidad</t>
        </is>
      </c>
      <c r="H2" s="14" t="inlineStr">
        <is>
          <t>Importe</t>
        </is>
      </c>
      <c r="I2" s="14" t="inlineStr">
        <is>
          <t>%</t>
        </is>
      </c>
      <c r="J2" s="14" t="inlineStr">
        <is>
          <t>Mercado P.U.</t>
        </is>
      </c>
      <c r="K2" s="14" t="inlineStr">
        <is>
          <t>Mercado Op.</t>
        </is>
      </c>
      <c r="L2" s="14" t="inlineStr">
        <is>
          <t>Mercado Cant.</t>
        </is>
      </c>
      <c r="M2" s="14" t="inlineStr">
        <is>
          <t>Mercado Importe</t>
        </is>
      </c>
      <c r="N2" s="32" t="inlineStr">
        <is>
          <t>P. Unitario</t>
        </is>
      </c>
      <c r="O2" s="32" t="inlineStr">
        <is>
          <t>Op.</t>
        </is>
      </c>
      <c r="P2" s="32" t="inlineStr">
        <is>
          <t>Cantidad</t>
        </is>
      </c>
      <c r="Q2" s="32" t="inlineStr">
        <is>
          <t>Importe</t>
        </is>
      </c>
      <c r="R2" s="32" t="inlineStr">
        <is>
          <t>%</t>
        </is>
      </c>
      <c r="S2" s="32" t="inlineStr">
        <is>
          <t>Mercado P.U.</t>
        </is>
      </c>
      <c r="T2" s="32" t="inlineStr">
        <is>
          <t>Mercado Op.</t>
        </is>
      </c>
      <c r="U2" s="32" t="inlineStr">
        <is>
          <t>Mercado Cant.</t>
        </is>
      </c>
      <c r="V2" s="32" t="inlineStr">
        <is>
          <t>Mercado Importe</t>
        </is>
      </c>
    </row>
    <row r="3">
      <c r="A3" s="38" t="inlineStr">
        <is>
          <t>FLEX41.11</t>
        </is>
      </c>
      <c r="B3" s="38" t="inlineStr">
        <is>
          <t>INSTALACIÓN DE BOMBA CENTRÍFUGA FRISTAM MODELO FPR 3531-155</t>
        </is>
      </c>
      <c r="C3" s="38" t="inlineStr">
        <is>
          <t>PZA</t>
        </is>
      </c>
      <c r="D3" s="38" t="inlineStr">
        <is>
          <t>PARTIDA</t>
        </is>
      </c>
      <c r="E3" s="39" t="n">
        <v>19187.17</v>
      </c>
      <c r="F3" s="38" t="inlineStr"/>
      <c r="G3" s="38" t="n">
        <v>1</v>
      </c>
      <c r="H3" s="39">
        <f>E3*G3</f>
        <v/>
      </c>
      <c r="I3" s="40">
        <f>H3/$H$25</f>
        <v/>
      </c>
      <c r="J3" s="39" t="n">
        <v>7238.26</v>
      </c>
      <c r="K3" s="38" t="inlineStr">
        <is>
          <t>*</t>
        </is>
      </c>
      <c r="L3" s="38" t="n">
        <v>1</v>
      </c>
      <c r="M3" s="39">
        <f>J3*L3</f>
        <v/>
      </c>
      <c r="N3" s="39" t="n">
        <v>15842.49</v>
      </c>
      <c r="O3" s="38" t="inlineStr"/>
      <c r="P3" s="38" t="n">
        <v>1</v>
      </c>
      <c r="Q3" s="39">
        <f>N3*P3</f>
        <v/>
      </c>
      <c r="R3" s="40">
        <f>Q3/$Q$25</f>
        <v/>
      </c>
      <c r="S3" s="39" t="n">
        <v>6618.23</v>
      </c>
      <c r="T3" s="38" t="inlineStr">
        <is>
          <t>*</t>
        </is>
      </c>
      <c r="U3" s="38" t="n">
        <v>1</v>
      </c>
      <c r="V3" s="39">
        <f>S3*U3</f>
        <v/>
      </c>
    </row>
    <row r="4">
      <c r="A4" s="41" t="inlineStr"/>
      <c r="B4" s="41" t="inlineStr">
        <is>
          <t>MATERIALES</t>
        </is>
      </c>
      <c r="C4" s="41" t="inlineStr"/>
      <c r="D4" s="41" t="inlineStr">
        <is>
          <t>TÍTULO</t>
        </is>
      </c>
      <c r="E4" s="42" t="inlineStr"/>
      <c r="F4" s="41" t="inlineStr"/>
      <c r="G4" s="41" t="inlineStr"/>
      <c r="H4" s="42" t="inlineStr"/>
      <c r="I4" s="43" t="inlineStr"/>
      <c r="J4" s="42" t="inlineStr"/>
      <c r="K4" s="41" t="inlineStr"/>
      <c r="L4" s="41" t="inlineStr"/>
      <c r="M4" s="42" t="inlineStr"/>
      <c r="N4" s="42" t="inlineStr"/>
      <c r="O4" s="41" t="inlineStr"/>
      <c r="P4" s="41" t="inlineStr"/>
      <c r="Q4" s="42" t="inlineStr"/>
      <c r="R4" s="43" t="inlineStr"/>
      <c r="S4" s="42" t="inlineStr"/>
      <c r="T4" s="41" t="inlineStr"/>
      <c r="U4" s="41" t="inlineStr"/>
      <c r="V4" s="42" t="inlineStr"/>
    </row>
    <row r="5" outlineLevel="1">
      <c r="A5" s="44" t="inlineStr">
        <is>
          <t>MAT-BOMBA</t>
        </is>
      </c>
      <c r="B5" s="44" t="inlineStr">
        <is>
          <t>Materiales menores para montaje de bomba</t>
        </is>
      </c>
      <c r="C5" s="44" t="inlineStr">
        <is>
          <t>LOTE</t>
        </is>
      </c>
      <c r="D5" s="44" t="inlineStr">
        <is>
          <t>MATERIALES</t>
        </is>
      </c>
      <c r="E5" s="45" t="n">
        <v>4500</v>
      </c>
      <c r="F5" s="44" t="inlineStr">
        <is>
          <t>*</t>
        </is>
      </c>
      <c r="G5" s="44" t="n">
        <v>1</v>
      </c>
      <c r="H5" s="45">
        <f>E5*G5</f>
        <v/>
      </c>
      <c r="I5" s="46">
        <f>H5/$H$25</f>
        <v/>
      </c>
      <c r="J5" s="45" t="n">
        <v>4500</v>
      </c>
      <c r="K5" s="44" t="inlineStr">
        <is>
          <t>*</t>
        </is>
      </c>
      <c r="L5" s="44" t="n">
        <v>1</v>
      </c>
      <c r="M5" s="45">
        <f>J5*L5</f>
        <v/>
      </c>
      <c r="N5" s="45" t="n">
        <v>4140</v>
      </c>
      <c r="O5" s="44" t="inlineStr">
        <is>
          <t>*</t>
        </is>
      </c>
      <c r="P5" s="44" t="n">
        <v>1</v>
      </c>
      <c r="Q5" s="45">
        <f>N5*P5</f>
        <v/>
      </c>
      <c r="R5" s="46">
        <f>Q5/$Q$25</f>
        <v/>
      </c>
      <c r="S5" s="45" t="n">
        <v>4140</v>
      </c>
      <c r="T5" s="44" t="inlineStr">
        <is>
          <t>*</t>
        </is>
      </c>
      <c r="U5" s="44" t="n">
        <v>1</v>
      </c>
      <c r="V5" s="45">
        <f>S5*U5</f>
        <v/>
      </c>
    </row>
    <row r="6" outlineLevel="1">
      <c r="A6" s="44" t="inlineStr">
        <is>
          <t>ANCL-M10</t>
        </is>
      </c>
      <c r="B6" s="44" t="inlineStr">
        <is>
          <t>Anclaje mecánico acero inoxidable M10</t>
        </is>
      </c>
      <c r="C6" s="44" t="inlineStr">
        <is>
          <t>PZA</t>
        </is>
      </c>
      <c r="D6" s="44" t="inlineStr">
        <is>
          <t>MATERIALES</t>
        </is>
      </c>
      <c r="E6" s="45" t="n">
        <v>120</v>
      </c>
      <c r="F6" s="44" t="inlineStr">
        <is>
          <t>*</t>
        </is>
      </c>
      <c r="G6" s="44" t="n">
        <v>8</v>
      </c>
      <c r="H6" s="45">
        <f>E6*G6</f>
        <v/>
      </c>
      <c r="I6" s="46">
        <f>H6/$H$25</f>
        <v/>
      </c>
      <c r="J6" s="45" t="n">
        <v>120</v>
      </c>
      <c r="K6" s="44" t="inlineStr">
        <is>
          <t>*</t>
        </is>
      </c>
      <c r="L6" s="44" t="n">
        <v>8</v>
      </c>
      <c r="M6" s="45">
        <f>J6*L6</f>
        <v/>
      </c>
      <c r="N6" s="45" t="n">
        <v>110.4</v>
      </c>
      <c r="O6" s="44" t="inlineStr">
        <is>
          <t>*</t>
        </is>
      </c>
      <c r="P6" s="44" t="n">
        <v>8</v>
      </c>
      <c r="Q6" s="45">
        <f>N6*P6</f>
        <v/>
      </c>
      <c r="R6" s="46">
        <f>Q6/$Q$25</f>
        <v/>
      </c>
      <c r="S6" s="45" t="n">
        <v>110.4</v>
      </c>
      <c r="T6" s="44" t="inlineStr">
        <is>
          <t>*</t>
        </is>
      </c>
      <c r="U6" s="44" t="n">
        <v>8</v>
      </c>
      <c r="V6" s="45">
        <f>S6*U6</f>
        <v/>
      </c>
    </row>
    <row r="7" outlineLevel="1">
      <c r="A7" s="44" t="inlineStr">
        <is>
          <t>SOL-INOX</t>
        </is>
      </c>
      <c r="B7" s="44" t="inlineStr">
        <is>
          <t>Consumible soldadura acero inoxidable</t>
        </is>
      </c>
      <c r="C7" s="44" t="inlineStr">
        <is>
          <t>KG</t>
        </is>
      </c>
      <c r="D7" s="44" t="inlineStr">
        <is>
          <t>MATERIALES</t>
        </is>
      </c>
      <c r="E7" s="45" t="n">
        <v>285</v>
      </c>
      <c r="F7" s="44" t="inlineStr">
        <is>
          <t>*</t>
        </is>
      </c>
      <c r="G7" s="44" t="n">
        <v>1.5</v>
      </c>
      <c r="H7" s="45">
        <f>E7*G7</f>
        <v/>
      </c>
      <c r="I7" s="46">
        <f>H7/$H$25</f>
        <v/>
      </c>
      <c r="J7" s="45" t="n">
        <v>300.8</v>
      </c>
      <c r="K7" s="44" t="inlineStr">
        <is>
          <t>*</t>
        </is>
      </c>
      <c r="L7" s="44" t="n">
        <v>1.5</v>
      </c>
      <c r="M7" s="45">
        <f>J7*L7</f>
        <v/>
      </c>
      <c r="N7" s="45" t="n">
        <v>262.2</v>
      </c>
      <c r="O7" s="44" t="inlineStr">
        <is>
          <t>*</t>
        </is>
      </c>
      <c r="P7" s="44" t="n">
        <v>1.5</v>
      </c>
      <c r="Q7" s="45">
        <f>N7*P7</f>
        <v/>
      </c>
      <c r="R7" s="46">
        <f>Q7/$Q$25</f>
        <v/>
      </c>
      <c r="S7" s="45" t="n">
        <v>300.8</v>
      </c>
      <c r="T7" s="44" t="inlineStr">
        <is>
          <t>*</t>
        </is>
      </c>
      <c r="U7" s="44" t="n">
        <v>1.5</v>
      </c>
      <c r="V7" s="45">
        <f>S7*U7</f>
        <v/>
      </c>
    </row>
    <row r="8" outlineLevel="1">
      <c r="A8" s="47" t="inlineStr">
        <is>
          <t>%CONS-MAT</t>
        </is>
      </c>
      <c r="B8" s="47" t="inlineStr">
        <is>
          <t>Consumibles declarados como % sobre subtotal de MATERIALES</t>
        </is>
      </c>
      <c r="C8" s="47" t="inlineStr">
        <is>
          <t>%</t>
        </is>
      </c>
      <c r="D8" s="47" t="inlineStr">
        <is>
          <t>% SOBRE MATERIALES</t>
        </is>
      </c>
      <c r="E8" s="48">
        <f>SUM(H5:H7)</f>
        <v/>
      </c>
      <c r="F8" s="47" t="inlineStr">
        <is>
          <t>%</t>
        </is>
      </c>
      <c r="G8" s="49" t="n">
        <v>0.08</v>
      </c>
      <c r="H8" s="48">
        <f>E8*G8</f>
        <v/>
      </c>
      <c r="I8" s="49">
        <f>H8/$H$25</f>
        <v/>
      </c>
      <c r="J8" s="48">
        <f>SUM(M5:M7)</f>
        <v/>
      </c>
      <c r="K8" s="47" t="inlineStr">
        <is>
          <t>%</t>
        </is>
      </c>
      <c r="L8" s="49" t="n">
        <v>0.08</v>
      </c>
      <c r="M8" s="48">
        <f>J8*L8</f>
        <v/>
      </c>
      <c r="N8" s="48">
        <f>SUM(Q5:Q7)</f>
        <v/>
      </c>
      <c r="O8" s="47" t="inlineStr">
        <is>
          <t>%</t>
        </is>
      </c>
      <c r="P8" s="49" t="n">
        <v>0.06</v>
      </c>
      <c r="Q8" s="48">
        <f>N8*P8</f>
        <v/>
      </c>
      <c r="R8" s="49">
        <f>Q8/$Q$25</f>
        <v/>
      </c>
      <c r="S8" s="48">
        <f>SUM(V5:V7)</f>
        <v/>
      </c>
      <c r="T8" s="47" t="inlineStr">
        <is>
          <t>%</t>
        </is>
      </c>
      <c r="U8" s="49" t="n">
        <v>0.06</v>
      </c>
      <c r="V8" s="48">
        <f>S8*U8</f>
        <v/>
      </c>
    </row>
    <row r="9">
      <c r="A9" s="50" t="inlineStr"/>
      <c r="B9" s="50" t="inlineStr">
        <is>
          <t>SUBTOTAL MATERIALES</t>
        </is>
      </c>
      <c r="C9" s="50" t="inlineStr"/>
      <c r="D9" s="50" t="inlineStr">
        <is>
          <t>SUBTOTAL MATERIALES</t>
        </is>
      </c>
      <c r="E9" s="51">
        <f>SUM(H5:H7)</f>
        <v/>
      </c>
      <c r="F9" s="50" t="inlineStr"/>
      <c r="G9" s="50" t="inlineStr"/>
      <c r="H9" s="51">
        <f>SUM(H5:H8)</f>
        <v/>
      </c>
      <c r="I9" s="52">
        <f>H9/$H$25</f>
        <v/>
      </c>
      <c r="J9" s="51">
        <f>SUM(M5:M7)</f>
        <v/>
      </c>
      <c r="K9" s="50" t="inlineStr"/>
      <c r="L9" s="50" t="inlineStr"/>
      <c r="M9" s="51">
        <f>SUM(M5:M8)</f>
        <v/>
      </c>
      <c r="N9" s="51">
        <f>SUM(Q5:Q7)</f>
        <v/>
      </c>
      <c r="O9" s="50" t="inlineStr"/>
      <c r="P9" s="50" t="inlineStr"/>
      <c r="Q9" s="51">
        <f>SUM(Q5:Q8)</f>
        <v/>
      </c>
      <c r="R9" s="52">
        <f>Q9/$Q$25</f>
        <v/>
      </c>
      <c r="S9" s="51">
        <f>SUM(V5:V7)</f>
        <v/>
      </c>
      <c r="T9" s="50" t="inlineStr"/>
      <c r="U9" s="50" t="inlineStr"/>
      <c r="V9" s="51">
        <f>SUM(V5:V8)</f>
        <v/>
      </c>
    </row>
    <row r="10">
      <c r="A10" s="41" t="inlineStr"/>
      <c r="B10" s="41" t="inlineStr">
        <is>
          <t>MANO DE OBRA</t>
        </is>
      </c>
      <c r="C10" s="41" t="inlineStr"/>
      <c r="D10" s="41" t="inlineStr">
        <is>
          <t>TÍTULO</t>
        </is>
      </c>
      <c r="E10" s="42" t="inlineStr"/>
      <c r="F10" s="41" t="inlineStr"/>
      <c r="G10" s="41" t="inlineStr"/>
      <c r="H10" s="42" t="inlineStr"/>
      <c r="I10" s="43" t="inlineStr"/>
      <c r="J10" s="42" t="inlineStr"/>
      <c r="K10" s="41" t="inlineStr"/>
      <c r="L10" s="41" t="inlineStr"/>
      <c r="M10" s="42" t="inlineStr"/>
      <c r="N10" s="42" t="inlineStr"/>
      <c r="O10" s="41" t="inlineStr"/>
      <c r="P10" s="41" t="inlineStr"/>
      <c r="Q10" s="42" t="inlineStr"/>
      <c r="R10" s="43" t="inlineStr"/>
      <c r="S10" s="42" t="inlineStr"/>
      <c r="T10" s="41" t="inlineStr"/>
      <c r="U10" s="41" t="inlineStr"/>
      <c r="V10" s="42" t="inlineStr"/>
    </row>
    <row r="11" outlineLevel="1">
      <c r="A11" s="44" t="inlineStr">
        <is>
          <t>SUP-O</t>
        </is>
      </c>
      <c r="B11" s="44" t="inlineStr">
        <is>
          <t>Supervisor Obra</t>
        </is>
      </c>
      <c r="C11" s="44" t="inlineStr">
        <is>
          <t>JOR</t>
        </is>
      </c>
      <c r="D11" s="44" t="inlineStr">
        <is>
          <t>MO</t>
        </is>
      </c>
      <c r="E11" s="45" t="n">
        <v>2643.19</v>
      </c>
      <c r="F11" s="44" t="inlineStr">
        <is>
          <t>*</t>
        </is>
      </c>
      <c r="G11" s="44" t="n">
        <v>0.1</v>
      </c>
      <c r="H11" s="45">
        <f>E11*G11</f>
        <v/>
      </c>
      <c r="I11" s="46">
        <f>H11/$H$25</f>
        <v/>
      </c>
      <c r="J11" s="45" t="n">
        <v>1757.33</v>
      </c>
      <c r="K11" s="44" t="inlineStr">
        <is>
          <t>*</t>
        </is>
      </c>
      <c r="L11" s="44" t="n">
        <v>0.1</v>
      </c>
      <c r="M11" s="45">
        <f>J11*L11</f>
        <v/>
      </c>
      <c r="N11" s="45" t="n">
        <v>2350</v>
      </c>
      <c r="O11" s="44" t="inlineStr">
        <is>
          <t>*</t>
        </is>
      </c>
      <c r="P11" s="44" t="n">
        <v>0.1</v>
      </c>
      <c r="Q11" s="45">
        <f>N11*P11</f>
        <v/>
      </c>
      <c r="R11" s="46">
        <f>Q11/$Q$25</f>
        <v/>
      </c>
      <c r="S11" s="45" t="n">
        <v>1757.33</v>
      </c>
      <c r="T11" s="44" t="inlineStr">
        <is>
          <t>*</t>
        </is>
      </c>
      <c r="U11" s="44" t="n">
        <v>0.1</v>
      </c>
      <c r="V11" s="45">
        <f>S11*U11</f>
        <v/>
      </c>
    </row>
    <row r="12" outlineLevel="1">
      <c r="A12" s="44" t="inlineStr">
        <is>
          <t>OF-SOL</t>
        </is>
      </c>
      <c r="B12" s="44" t="inlineStr">
        <is>
          <t>Oficial soldador / argonero</t>
        </is>
      </c>
      <c r="C12" s="44" t="inlineStr">
        <is>
          <t>JOR</t>
        </is>
      </c>
      <c r="D12" s="44" t="inlineStr">
        <is>
          <t>MO</t>
        </is>
      </c>
      <c r="E12" s="45" t="n">
        <v>2120.45</v>
      </c>
      <c r="F12" s="44" t="inlineStr">
        <is>
          <t>*</t>
        </is>
      </c>
      <c r="G12" s="44" t="n">
        <v>1</v>
      </c>
      <c r="H12" s="45">
        <f>E12*G12</f>
        <v/>
      </c>
      <c r="I12" s="46">
        <f>H12/$H$25</f>
        <v/>
      </c>
      <c r="J12" s="45" t="n">
        <v>1326.14</v>
      </c>
      <c r="K12" s="44" t="inlineStr">
        <is>
          <t>*</t>
        </is>
      </c>
      <c r="L12" s="44" t="n">
        <v>1</v>
      </c>
      <c r="M12" s="45">
        <f>J12*L12</f>
        <v/>
      </c>
      <c r="N12" s="45" t="n">
        <v>1980</v>
      </c>
      <c r="O12" s="44" t="inlineStr">
        <is>
          <t>*</t>
        </is>
      </c>
      <c r="P12" s="44" t="n">
        <v>1</v>
      </c>
      <c r="Q12" s="45">
        <f>N12*P12</f>
        <v/>
      </c>
      <c r="R12" s="46">
        <f>Q12/$Q$25</f>
        <v/>
      </c>
      <c r="S12" s="45" t="n">
        <v>1326.14</v>
      </c>
      <c r="T12" s="44" t="inlineStr">
        <is>
          <t>*</t>
        </is>
      </c>
      <c r="U12" s="44" t="n">
        <v>1</v>
      </c>
      <c r="V12" s="45">
        <f>S12*U12</f>
        <v/>
      </c>
    </row>
    <row r="13" outlineLevel="1">
      <c r="A13" s="44" t="inlineStr">
        <is>
          <t>AYU-GRAL</t>
        </is>
      </c>
      <c r="B13" s="44" t="inlineStr">
        <is>
          <t>Ayudante general</t>
        </is>
      </c>
      <c r="C13" s="44" t="inlineStr">
        <is>
          <t>JOR</t>
        </is>
      </c>
      <c r="D13" s="44" t="inlineStr">
        <is>
          <t>MO</t>
        </is>
      </c>
      <c r="E13" s="45" t="n">
        <v>1074.96</v>
      </c>
      <c r="F13" s="44" t="inlineStr">
        <is>
          <t>*</t>
        </is>
      </c>
      <c r="G13" s="44" t="n">
        <v>1</v>
      </c>
      <c r="H13" s="45">
        <f>E13*G13</f>
        <v/>
      </c>
      <c r="I13" s="46">
        <f>H13/$H$25</f>
        <v/>
      </c>
      <c r="J13" s="45" t="n">
        <v>777.88</v>
      </c>
      <c r="K13" s="44" t="inlineStr">
        <is>
          <t>*</t>
        </is>
      </c>
      <c r="L13" s="44" t="n">
        <v>1</v>
      </c>
      <c r="M13" s="45">
        <f>J13*L13</f>
        <v/>
      </c>
      <c r="N13" s="45" t="n">
        <v>980</v>
      </c>
      <c r="O13" s="44" t="inlineStr">
        <is>
          <t>*</t>
        </is>
      </c>
      <c r="P13" s="44" t="n">
        <v>1</v>
      </c>
      <c r="Q13" s="45">
        <f>N13*P13</f>
        <v/>
      </c>
      <c r="R13" s="46">
        <f>Q13/$Q$25</f>
        <v/>
      </c>
      <c r="S13" s="45" t="n">
        <v>777.88</v>
      </c>
      <c r="T13" s="44" t="inlineStr">
        <is>
          <t>*</t>
        </is>
      </c>
      <c r="U13" s="44" t="n">
        <v>1</v>
      </c>
      <c r="V13" s="45">
        <f>S13*U13</f>
        <v/>
      </c>
    </row>
    <row r="14" outlineLevel="1">
      <c r="A14" s="47" t="inlineStr">
        <is>
          <t>%HERR</t>
        </is>
      </c>
      <c r="B14" s="47" t="inlineStr">
        <is>
          <t>Herramienta menor declarada como % sobre subtotal MO</t>
        </is>
      </c>
      <c r="C14" s="47" t="inlineStr">
        <is>
          <t>%</t>
        </is>
      </c>
      <c r="D14" s="47" t="inlineStr">
        <is>
          <t>% SOBRE MO</t>
        </is>
      </c>
      <c r="E14" s="48">
        <f>SUM(H11:H13)</f>
        <v/>
      </c>
      <c r="F14" s="47" t="inlineStr">
        <is>
          <t>%</t>
        </is>
      </c>
      <c r="G14" s="49" t="n">
        <v>0.09</v>
      </c>
      <c r="H14" s="48">
        <f>E14*G14</f>
        <v/>
      </c>
      <c r="I14" s="49">
        <f>H14/$H$25</f>
        <v/>
      </c>
      <c r="J14" s="48">
        <f>SUM(M11:M13)</f>
        <v/>
      </c>
      <c r="K14" s="47" t="inlineStr">
        <is>
          <t>%</t>
        </is>
      </c>
      <c r="L14" s="49" t="n">
        <v>0.09</v>
      </c>
      <c r="M14" s="48">
        <f>J14*L14</f>
        <v/>
      </c>
      <c r="N14" s="48">
        <f>SUM(Q11:Q13)</f>
        <v/>
      </c>
      <c r="O14" s="47" t="inlineStr">
        <is>
          <t>%</t>
        </is>
      </c>
      <c r="P14" s="49" t="n">
        <v>0.05</v>
      </c>
      <c r="Q14" s="48">
        <f>N14*P14</f>
        <v/>
      </c>
      <c r="R14" s="49">
        <f>Q14/$Q$25</f>
        <v/>
      </c>
      <c r="S14" s="48">
        <f>SUM(V11:V13)</f>
        <v/>
      </c>
      <c r="T14" s="47" t="inlineStr">
        <is>
          <t>%</t>
        </is>
      </c>
      <c r="U14" s="49" t="n">
        <v>0.05</v>
      </c>
      <c r="V14" s="48">
        <f>S14*U14</f>
        <v/>
      </c>
    </row>
    <row r="15" outlineLevel="1">
      <c r="A15" s="47" t="inlineStr">
        <is>
          <t>%EPP</t>
        </is>
      </c>
      <c r="B15" s="47" t="inlineStr">
        <is>
          <t>Equipo de protección personal declarado como % sobre subtotal MO</t>
        </is>
      </c>
      <c r="C15" s="47" t="inlineStr">
        <is>
          <t>%</t>
        </is>
      </c>
      <c r="D15" s="47" t="inlineStr">
        <is>
          <t>% SOBRE MO</t>
        </is>
      </c>
      <c r="E15" s="48">
        <f>SUM(H11:H13)</f>
        <v/>
      </c>
      <c r="F15" s="47" t="inlineStr">
        <is>
          <t>%</t>
        </is>
      </c>
      <c r="G15" s="49" t="n">
        <v>0.09</v>
      </c>
      <c r="H15" s="48">
        <f>E15*G15</f>
        <v/>
      </c>
      <c r="I15" s="49">
        <f>H15/$H$25</f>
        <v/>
      </c>
      <c r="J15" s="48">
        <f>SUM(M11:M13)</f>
        <v/>
      </c>
      <c r="K15" s="47" t="inlineStr">
        <is>
          <t>%</t>
        </is>
      </c>
      <c r="L15" s="49" t="n">
        <v>0.09</v>
      </c>
      <c r="M15" s="48">
        <f>J15*L15</f>
        <v/>
      </c>
      <c r="N15" s="48">
        <f>SUM(Q11:Q13)</f>
        <v/>
      </c>
      <c r="O15" s="47" t="inlineStr">
        <is>
          <t>%</t>
        </is>
      </c>
      <c r="P15" s="49" t="n">
        <v>0.07000000000000001</v>
      </c>
      <c r="Q15" s="48">
        <f>N15*P15</f>
        <v/>
      </c>
      <c r="R15" s="49">
        <f>Q15/$Q$25</f>
        <v/>
      </c>
      <c r="S15" s="48">
        <f>SUM(V11:V13)</f>
        <v/>
      </c>
      <c r="T15" s="47" t="inlineStr">
        <is>
          <t>%</t>
        </is>
      </c>
      <c r="U15" s="49" t="n">
        <v>0.07000000000000001</v>
      </c>
      <c r="V15" s="48">
        <f>S15*U15</f>
        <v/>
      </c>
    </row>
    <row r="16">
      <c r="A16" s="50" t="inlineStr"/>
      <c r="B16" s="50" t="inlineStr">
        <is>
          <t>SUBTOTAL MANO DE OBRA</t>
        </is>
      </c>
      <c r="C16" s="50" t="inlineStr"/>
      <c r="D16" s="50" t="inlineStr">
        <is>
          <t>SUBTOTAL MO</t>
        </is>
      </c>
      <c r="E16" s="51">
        <f>SUM(H11:H13)</f>
        <v/>
      </c>
      <c r="F16" s="50" t="inlineStr"/>
      <c r="G16" s="50" t="inlineStr"/>
      <c r="H16" s="51">
        <f>SUM(H11:H15)</f>
        <v/>
      </c>
      <c r="I16" s="52">
        <f>H16/$H$25</f>
        <v/>
      </c>
      <c r="J16" s="51">
        <f>SUM(M11:M13)</f>
        <v/>
      </c>
      <c r="K16" s="50" t="inlineStr"/>
      <c r="L16" s="50" t="inlineStr"/>
      <c r="M16" s="51">
        <f>SUM(M11:M15)</f>
        <v/>
      </c>
      <c r="N16" s="51">
        <f>SUM(Q11:Q13)</f>
        <v/>
      </c>
      <c r="O16" s="50" t="inlineStr"/>
      <c r="P16" s="50" t="inlineStr"/>
      <c r="Q16" s="51">
        <f>SUM(Q11:Q15)</f>
        <v/>
      </c>
      <c r="R16" s="52">
        <f>Q16/$Q$25</f>
        <v/>
      </c>
      <c r="S16" s="51">
        <f>SUM(V11:V13)</f>
        <v/>
      </c>
      <c r="T16" s="50" t="inlineStr"/>
      <c r="U16" s="50" t="inlineStr"/>
      <c r="V16" s="51">
        <f>SUM(V11:V15)</f>
        <v/>
      </c>
    </row>
    <row r="17">
      <c r="A17" s="41" t="inlineStr"/>
      <c r="B17" s="41" t="inlineStr">
        <is>
          <t>MAQUINARIA / EQUIPO</t>
        </is>
      </c>
      <c r="C17" s="41" t="inlineStr"/>
      <c r="D17" s="41" t="inlineStr">
        <is>
          <t>TÍTULO</t>
        </is>
      </c>
      <c r="E17" s="42" t="inlineStr"/>
      <c r="F17" s="41" t="inlineStr"/>
      <c r="G17" s="41" t="inlineStr"/>
      <c r="H17" s="42" t="inlineStr"/>
      <c r="I17" s="43" t="inlineStr"/>
      <c r="J17" s="42" t="inlineStr"/>
      <c r="K17" s="41" t="inlineStr"/>
      <c r="L17" s="41" t="inlineStr"/>
      <c r="M17" s="42" t="inlineStr"/>
      <c r="N17" s="42" t="inlineStr"/>
      <c r="O17" s="41" t="inlineStr"/>
      <c r="P17" s="41" t="inlineStr"/>
      <c r="Q17" s="42" t="inlineStr"/>
      <c r="R17" s="43" t="inlineStr"/>
      <c r="S17" s="42" t="inlineStr"/>
      <c r="T17" s="41" t="inlineStr"/>
      <c r="U17" s="41" t="inlineStr"/>
      <c r="V17" s="42" t="inlineStr"/>
    </row>
    <row r="18" outlineLevel="1">
      <c r="A18" s="44" t="inlineStr">
        <is>
          <t>EQ-MEZ</t>
        </is>
      </c>
      <c r="B18" s="44" t="inlineStr">
        <is>
          <t>Equipo menor / maquinaria auxiliar</t>
        </is>
      </c>
      <c r="C18" s="44" t="inlineStr">
        <is>
          <t>HR</t>
        </is>
      </c>
      <c r="D18" s="44" t="inlineStr">
        <is>
          <t>MAQUINARIA</t>
        </is>
      </c>
      <c r="E18" s="45" t="n">
        <v>350</v>
      </c>
      <c r="F18" s="44" t="inlineStr">
        <is>
          <t>*</t>
        </is>
      </c>
      <c r="G18" s="44" t="n">
        <v>2</v>
      </c>
      <c r="H18" s="45">
        <f>E18*G18</f>
        <v/>
      </c>
      <c r="I18" s="46">
        <f>H18/$H$25</f>
        <v/>
      </c>
      <c r="J18" s="45" t="n">
        <v>330</v>
      </c>
      <c r="K18" s="44" t="inlineStr">
        <is>
          <t>*</t>
        </is>
      </c>
      <c r="L18" s="44" t="n">
        <v>2</v>
      </c>
      <c r="M18" s="45">
        <f>J18*L18</f>
        <v/>
      </c>
      <c r="N18" s="45" t="n">
        <v>320</v>
      </c>
      <c r="O18" s="44" t="inlineStr">
        <is>
          <t>*</t>
        </is>
      </c>
      <c r="P18" s="44" t="n">
        <v>2</v>
      </c>
      <c r="Q18" s="45">
        <f>N18*P18</f>
        <v/>
      </c>
      <c r="R18" s="46">
        <f>Q18/$Q$25</f>
        <v/>
      </c>
      <c r="S18" s="45" t="n">
        <v>330</v>
      </c>
      <c r="T18" s="44" t="inlineStr">
        <is>
          <t>*</t>
        </is>
      </c>
      <c r="U18" s="44" t="n">
        <v>2</v>
      </c>
      <c r="V18" s="45">
        <f>S18*U18</f>
        <v/>
      </c>
    </row>
    <row r="19" outlineLevel="1">
      <c r="A19" s="47" t="inlineStr">
        <is>
          <t>%EQ</t>
        </is>
      </c>
      <c r="B19" s="47" t="inlineStr">
        <is>
          <t>Porcentaje sobre subtotal de MAQUINARIA</t>
        </is>
      </c>
      <c r="C19" s="47" t="inlineStr">
        <is>
          <t>%</t>
        </is>
      </c>
      <c r="D19" s="47" t="inlineStr">
        <is>
          <t>% SOBRE MAQUINARIA</t>
        </is>
      </c>
      <c r="E19" s="48">
        <f>H18</f>
        <v/>
      </c>
      <c r="F19" s="47" t="inlineStr">
        <is>
          <t>%</t>
        </is>
      </c>
      <c r="G19" s="49" t="n">
        <v>0.05</v>
      </c>
      <c r="H19" s="48">
        <f>E19*G19</f>
        <v/>
      </c>
      <c r="I19" s="49">
        <f>H19/$H$25</f>
        <v/>
      </c>
      <c r="J19" s="48">
        <f>M18</f>
        <v/>
      </c>
      <c r="K19" s="47" t="inlineStr">
        <is>
          <t>%</t>
        </is>
      </c>
      <c r="L19" s="49" t="n">
        <v>0.05</v>
      </c>
      <c r="M19" s="48">
        <f>J19*L19</f>
        <v/>
      </c>
      <c r="N19" s="48">
        <f>Q18</f>
        <v/>
      </c>
      <c r="O19" s="47" t="inlineStr">
        <is>
          <t>%</t>
        </is>
      </c>
      <c r="P19" s="49" t="n">
        <v>0.04</v>
      </c>
      <c r="Q19" s="48">
        <f>N19*P19</f>
        <v/>
      </c>
      <c r="R19" s="49">
        <f>Q19/$Q$25</f>
        <v/>
      </c>
      <c r="S19" s="48">
        <f>V18</f>
        <v/>
      </c>
      <c r="T19" s="47" t="inlineStr">
        <is>
          <t>%</t>
        </is>
      </c>
      <c r="U19" s="49" t="n">
        <v>0.04</v>
      </c>
      <c r="V19" s="48">
        <f>S19*U19</f>
        <v/>
      </c>
    </row>
    <row r="20">
      <c r="A20" s="50" t="inlineStr"/>
      <c r="B20" s="50" t="inlineStr">
        <is>
          <t>SUBTOTAL MAQUINARIA</t>
        </is>
      </c>
      <c r="C20" s="50" t="inlineStr"/>
      <c r="D20" s="50" t="inlineStr">
        <is>
          <t>SUBTOTAL MAQUINARIA</t>
        </is>
      </c>
      <c r="E20" s="51">
        <f>SUM(H18:H19)</f>
        <v/>
      </c>
      <c r="F20" s="50" t="inlineStr"/>
      <c r="G20" s="50" t="inlineStr"/>
      <c r="H20" s="51">
        <f>SUM(H18:H19)</f>
        <v/>
      </c>
      <c r="I20" s="52">
        <f>H20/$H$25</f>
        <v/>
      </c>
      <c r="J20" s="51">
        <f>SUM(M18:M19)</f>
        <v/>
      </c>
      <c r="K20" s="50" t="inlineStr"/>
      <c r="L20" s="50" t="inlineStr"/>
      <c r="M20" s="51">
        <f>SUM(M18:M19)</f>
        <v/>
      </c>
      <c r="N20" s="51">
        <f>SUM(Q18:Q19)</f>
        <v/>
      </c>
      <c r="O20" s="50" t="inlineStr"/>
      <c r="P20" s="50" t="inlineStr"/>
      <c r="Q20" s="51">
        <f>SUM(Q18:Q19)</f>
        <v/>
      </c>
      <c r="R20" s="52">
        <f>Q20/$Q$25</f>
        <v/>
      </c>
      <c r="S20" s="51">
        <f>SUM(V18:V19)</f>
        <v/>
      </c>
      <c r="T20" s="50" t="inlineStr"/>
      <c r="U20" s="50" t="inlineStr"/>
      <c r="V20" s="51">
        <f>SUM(V18:V19)</f>
        <v/>
      </c>
    </row>
    <row r="21">
      <c r="A21" s="41" t="inlineStr"/>
      <c r="B21" s="41" t="inlineStr">
        <is>
          <t>SECCIÓN FINANCIERA</t>
        </is>
      </c>
      <c r="C21" s="41" t="inlineStr"/>
      <c r="D21" s="41" t="inlineStr">
        <is>
          <t>TÍTULO</t>
        </is>
      </c>
      <c r="E21" s="42" t="inlineStr"/>
      <c r="F21" s="41" t="inlineStr"/>
      <c r="G21" s="41" t="inlineStr"/>
      <c r="H21" s="42" t="inlineStr"/>
      <c r="I21" s="43" t="inlineStr"/>
      <c r="J21" s="42" t="inlineStr"/>
      <c r="K21" s="41" t="inlineStr"/>
      <c r="L21" s="41" t="inlineStr"/>
      <c r="M21" s="42" t="inlineStr"/>
      <c r="N21" s="42" t="inlineStr"/>
      <c r="O21" s="41" t="inlineStr"/>
      <c r="P21" s="41" t="inlineStr"/>
      <c r="Q21" s="42" t="inlineStr"/>
      <c r="R21" s="43" t="inlineStr"/>
      <c r="S21" s="42" t="inlineStr"/>
      <c r="T21" s="41" t="inlineStr"/>
      <c r="U21" s="41" t="inlineStr"/>
      <c r="V21" s="42" t="inlineStr"/>
    </row>
    <row r="22">
      <c r="A22" s="50" t="inlineStr"/>
      <c r="B22" s="50" t="inlineStr">
        <is>
          <t>COSTO DIRECTO</t>
        </is>
      </c>
      <c r="C22" s="50" t="inlineStr"/>
      <c r="D22" s="50" t="inlineStr">
        <is>
          <t>TOTAL DIRECTO</t>
        </is>
      </c>
      <c r="E22" s="51">
        <f>H9+H16+H20</f>
        <v/>
      </c>
      <c r="F22" s="50" t="inlineStr"/>
      <c r="G22" s="50" t="inlineStr"/>
      <c r="H22" s="51">
        <f>E22</f>
        <v/>
      </c>
      <c r="I22" s="52">
        <f>H22/$H$25</f>
        <v/>
      </c>
      <c r="J22" s="51">
        <f>M9+M16+M20</f>
        <v/>
      </c>
      <c r="K22" s="50" t="inlineStr"/>
      <c r="L22" s="50" t="inlineStr"/>
      <c r="M22" s="51">
        <f>J22</f>
        <v/>
      </c>
      <c r="N22" s="51">
        <f>Q9+Q16+Q20</f>
        <v/>
      </c>
      <c r="O22" s="50" t="inlineStr"/>
      <c r="P22" s="50" t="inlineStr"/>
      <c r="Q22" s="51">
        <f>N22</f>
        <v/>
      </c>
      <c r="R22" s="52">
        <f>Q22/$Q$25</f>
        <v/>
      </c>
      <c r="S22" s="51">
        <f>V9+V16+V20</f>
        <v/>
      </c>
      <c r="T22" s="50" t="inlineStr"/>
      <c r="U22" s="50" t="inlineStr"/>
      <c r="V22" s="51">
        <f>S22</f>
        <v/>
      </c>
    </row>
    <row r="23" outlineLevel="1">
      <c r="A23" s="47" t="inlineStr">
        <is>
          <t>IND</t>
        </is>
      </c>
      <c r="B23" s="47" t="inlineStr">
        <is>
          <t>Costo indirecto declarado como % sobre COSTO DIRECTO</t>
        </is>
      </c>
      <c r="C23" s="47" t="inlineStr">
        <is>
          <t>%</t>
        </is>
      </c>
      <c r="D23" s="47" t="inlineStr">
        <is>
          <t>% SOBRE DIRECTO</t>
        </is>
      </c>
      <c r="E23" s="48">
        <f>H22</f>
        <v/>
      </c>
      <c r="F23" s="47" t="inlineStr">
        <is>
          <t>%</t>
        </is>
      </c>
      <c r="G23" s="49" t="n">
        <v>0.25</v>
      </c>
      <c r="H23" s="48">
        <f>E23*G23</f>
        <v/>
      </c>
      <c r="I23" s="49">
        <f>H23/$H$25</f>
        <v/>
      </c>
      <c r="J23" s="48">
        <f>M22</f>
        <v/>
      </c>
      <c r="K23" s="47" t="inlineStr">
        <is>
          <t>%</t>
        </is>
      </c>
      <c r="L23" s="49" t="n">
        <v>0.25</v>
      </c>
      <c r="M23" s="48">
        <f>J23*L23</f>
        <v/>
      </c>
      <c r="N23" s="48">
        <f>Q22</f>
        <v/>
      </c>
      <c r="O23" s="47" t="inlineStr">
        <is>
          <t>%</t>
        </is>
      </c>
      <c r="P23" s="49" t="n">
        <v>0.25</v>
      </c>
      <c r="Q23" s="48">
        <f>N23*P23</f>
        <v/>
      </c>
      <c r="R23" s="49">
        <f>Q23/$Q$25</f>
        <v/>
      </c>
      <c r="S23" s="48">
        <f>V22</f>
        <v/>
      </c>
      <c r="T23" s="47" t="inlineStr">
        <is>
          <t>%</t>
        </is>
      </c>
      <c r="U23" s="49" t="n">
        <v>0.25</v>
      </c>
      <c r="V23" s="48">
        <f>S23*U23</f>
        <v/>
      </c>
    </row>
    <row r="24" outlineLevel="1">
      <c r="A24" s="47" t="inlineStr">
        <is>
          <t>FIN</t>
        </is>
      </c>
      <c r="B24" s="47" t="inlineStr">
        <is>
          <t>Financiamiento declarado como % sobre directo + indirecto</t>
        </is>
      </c>
      <c r="C24" s="47" t="inlineStr">
        <is>
          <t>%</t>
        </is>
      </c>
      <c r="D24" s="47" t="inlineStr">
        <is>
          <t>% SOBRE DIRECTO+IND</t>
        </is>
      </c>
      <c r="E24" s="48">
        <f>H22+H23</f>
        <v/>
      </c>
      <c r="F24" s="47" t="inlineStr">
        <is>
          <t>%</t>
        </is>
      </c>
      <c r="G24" s="49" t="n">
        <v>0.0285</v>
      </c>
      <c r="H24" s="48">
        <f>E24*G24</f>
        <v/>
      </c>
      <c r="I24" s="49">
        <f>H24/$H$25</f>
        <v/>
      </c>
      <c r="J24" s="48">
        <f>M22+M23</f>
        <v/>
      </c>
      <c r="K24" s="47" t="inlineStr">
        <is>
          <t>%</t>
        </is>
      </c>
      <c r="L24" s="49" t="n">
        <v>0.0285</v>
      </c>
      <c r="M24" s="48">
        <f>J24*L24</f>
        <v/>
      </c>
      <c r="N24" s="48">
        <f>Q22+Q23</f>
        <v/>
      </c>
      <c r="O24" s="47" t="inlineStr">
        <is>
          <t>%</t>
        </is>
      </c>
      <c r="P24" s="49" t="n">
        <v>0</v>
      </c>
      <c r="Q24" s="48">
        <f>N24*P24</f>
        <v/>
      </c>
      <c r="R24" s="49">
        <f>Q24/$Q$25</f>
        <v/>
      </c>
      <c r="S24" s="48">
        <f>V22+V23</f>
        <v/>
      </c>
      <c r="T24" s="47" t="inlineStr">
        <is>
          <t>%</t>
        </is>
      </c>
      <c r="U24" s="49" t="n">
        <v>0</v>
      </c>
      <c r="V24" s="48">
        <f>S24*U24</f>
        <v/>
      </c>
    </row>
    <row r="25">
      <c r="A25" s="50" t="inlineStr"/>
      <c r="B25" s="50" t="inlineStr">
        <is>
          <t>TOTAL COSTO UNITARIO</t>
        </is>
      </c>
      <c r="C25" s="50" t="inlineStr"/>
      <c r="D25" s="50" t="inlineStr">
        <is>
          <t>TOTAL</t>
        </is>
      </c>
      <c r="E25" s="51">
        <f>H22+H23+H24</f>
        <v/>
      </c>
      <c r="F25" s="50" t="inlineStr"/>
      <c r="G25" s="50" t="inlineStr"/>
      <c r="H25" s="51">
        <f>E25</f>
        <v/>
      </c>
      <c r="I25" s="52" t="n">
        <v>1</v>
      </c>
      <c r="J25" s="51">
        <f>M22+M23+M24</f>
        <v/>
      </c>
      <c r="K25" s="50" t="inlineStr"/>
      <c r="L25" s="50" t="inlineStr"/>
      <c r="M25" s="51">
        <f>J25</f>
        <v/>
      </c>
      <c r="N25" s="51">
        <f>Q22+Q23+Q24</f>
        <v/>
      </c>
      <c r="O25" s="50" t="inlineStr"/>
      <c r="P25" s="50" t="inlineStr"/>
      <c r="Q25" s="51">
        <f>N25</f>
        <v/>
      </c>
      <c r="R25" s="52" t="n">
        <v>1</v>
      </c>
      <c r="S25" s="51">
        <f>V22+V23+V24</f>
        <v/>
      </c>
      <c r="T25" s="50" t="inlineStr"/>
      <c r="U25" s="50" t="inlineStr"/>
      <c r="V25" s="51">
        <f>S25</f>
        <v/>
      </c>
    </row>
    <row r="28">
      <c r="A28" s="53" t="inlineStr">
        <is>
          <t>Regla canónica de generación</t>
        </is>
      </c>
    </row>
    <row r="29" ht="42" customHeight="1">
      <c r="A29" s="37" t="inlineStr">
        <is>
          <t>Esta hoja no tiene columna Contratista porque cada proveedor vive en su propio bloque de columnas. V1 debe leer el APU/matriz declarada por cada proveedor, detectar secciones, calcular subtotales por Materiales, MO y Maquinaria, y aplicar insumos porcentuales sobre la base declarada en el archivo del contratista.</t>
        </is>
      </c>
    </row>
  </sheetData>
  <autoFilter ref="A2:V25"/>
  <mergeCells count="4">
    <mergeCell ref="A1:D1"/>
    <mergeCell ref="A29:V29"/>
    <mergeCell ref="N1:V1"/>
    <mergeCell ref="E1:M1"/>
  </mergeCells>
  <conditionalFormatting sqref="I3:I25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R3:R25">
    <cfRule type="colorScale" priority="2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6" customWidth="1" min="4" max="4"/>
    <col width="18" customWidth="1" min="5" max="5"/>
    <col width="16" customWidth="1" min="6" max="6"/>
    <col width="14" customWidth="1" min="7" max="7"/>
    <col width="14" customWidth="1" min="8" max="8"/>
    <col width="18" customWidth="1" min="9" max="9"/>
    <col width="26" customWidth="1" min="10" max="10"/>
    <col width="22" customWidth="1" min="11" max="11"/>
    <col width="18" customWidth="1" min="12" max="12"/>
  </cols>
  <sheetData>
    <row r="1" ht="24" customHeight="1">
      <c r="A1" s="1" t="inlineStr">
        <is>
          <t>Partidas Críticas</t>
        </is>
      </c>
    </row>
    <row r="2" ht="34" customHeight="1">
      <c r="A2" s="2" t="inlineStr">
        <is>
          <t>Priorización de partidas por impacto económico, desviación y riesgo de negociación.</t>
        </is>
      </c>
    </row>
    <row r="5" ht="36" customHeight="1">
      <c r="A5" s="14" t="inlineStr">
        <is>
          <t>Prioridad</t>
        </is>
      </c>
      <c r="B5" s="14" t="inlineStr">
        <is>
          <t>Contratista</t>
        </is>
      </c>
      <c r="C5" s="14" t="inlineStr">
        <is>
          <t>Partida</t>
        </is>
      </c>
      <c r="D5" s="14" t="inlineStr">
        <is>
          <t>Descripción</t>
        </is>
      </c>
      <c r="E5" s="14" t="inlineStr">
        <is>
          <t>Familia</t>
        </is>
      </c>
      <c r="F5" s="14" t="inlineStr">
        <is>
          <t>Impacto</t>
        </is>
      </c>
      <c r="G5" s="14" t="inlineStr">
        <is>
          <t>Desv. %</t>
        </is>
      </c>
      <c r="H5" s="14" t="inlineStr">
        <is>
          <t>Peso %</t>
        </is>
      </c>
      <c r="I5" s="14" t="inlineStr">
        <is>
          <t>Motivo</t>
        </is>
      </c>
      <c r="J5" s="14" t="inlineStr">
        <is>
          <t>Acción sugerida</t>
        </is>
      </c>
      <c r="K5" s="14" t="inlineStr">
        <is>
          <t>Estado revisión</t>
        </is>
      </c>
      <c r="L5" s="14" t="inlineStr">
        <is>
          <t>Responsable</t>
        </is>
      </c>
    </row>
    <row r="6">
      <c r="A6" s="20" t="n">
        <v>1</v>
      </c>
      <c r="B6" s="20" t="inlineStr">
        <is>
          <t>Contratista C</t>
        </is>
      </c>
      <c r="C6" s="20" t="inlineStr">
        <is>
          <t>CIV-001</t>
        </is>
      </c>
      <c r="D6" s="20" t="inlineStr">
        <is>
          <t>Concreto f'c 250</t>
        </is>
      </c>
      <c r="E6" s="20" t="inlineStr">
        <is>
          <t>Concreto</t>
        </is>
      </c>
      <c r="F6" s="21" t="n">
        <v>95000</v>
      </c>
      <c r="G6" s="22" t="n">
        <v>0.24</v>
      </c>
      <c r="H6" s="22" t="n">
        <v>0.18</v>
      </c>
      <c r="I6" s="20" t="inlineStr">
        <is>
          <t>Alto impacto</t>
        </is>
      </c>
      <c r="J6" s="20" t="inlineStr">
        <is>
          <t>Solicitar desglose APU</t>
        </is>
      </c>
      <c r="K6" s="20" t="inlineStr">
        <is>
          <t>Pendiente</t>
        </is>
      </c>
      <c r="L6" s="20" t="inlineStr">
        <is>
          <t>Ingeniería</t>
        </is>
      </c>
    </row>
    <row r="7">
      <c r="A7" s="15" t="n">
        <v>2</v>
      </c>
      <c r="B7" s="15" t="inlineStr">
        <is>
          <t>Contratista A</t>
        </is>
      </c>
      <c r="C7" s="15" t="inlineStr">
        <is>
          <t>CIV-002</t>
        </is>
      </c>
      <c r="D7" s="15" t="inlineStr">
        <is>
          <t>Acero de refuerzo</t>
        </is>
      </c>
      <c r="E7" s="15" t="inlineStr">
        <is>
          <t>Acero</t>
        </is>
      </c>
      <c r="F7" s="16" t="n">
        <v>62000</v>
      </c>
      <c r="G7" s="17" t="n">
        <v>0.2</v>
      </c>
      <c r="H7" s="17" t="n">
        <v>0.12</v>
      </c>
      <c r="I7" s="15" t="inlineStr">
        <is>
          <t>Precio sobre referencia</t>
        </is>
      </c>
      <c r="J7" s="15" t="inlineStr">
        <is>
          <t>Negociar precio unitario</t>
        </is>
      </c>
      <c r="K7" s="15" t="inlineStr">
        <is>
          <t>Pendiente</t>
        </is>
      </c>
      <c r="L7" s="15" t="inlineStr">
        <is>
          <t>Compras</t>
        </is>
      </c>
    </row>
    <row r="8">
      <c r="A8" s="20" t="n">
        <v>3</v>
      </c>
      <c r="B8" s="20" t="inlineStr">
        <is>
          <t>Contratista C</t>
        </is>
      </c>
      <c r="C8" s="20" t="inlineStr">
        <is>
          <t>ELE-001</t>
        </is>
      </c>
      <c r="D8" s="20" t="inlineStr">
        <is>
          <t>Luminarias LED</t>
        </is>
      </c>
      <c r="E8" s="20" t="inlineStr">
        <is>
          <t>Instalaciones</t>
        </is>
      </c>
      <c r="F8" s="21" t="n">
        <v>48000</v>
      </c>
      <c r="G8" s="22" t="n">
        <v>0.22</v>
      </c>
      <c r="H8" s="22" t="n">
        <v>0.09</v>
      </c>
      <c r="I8" s="20" t="inlineStr">
        <is>
          <t>Ficha técnica no validada</t>
        </is>
      </c>
      <c r="J8" s="20" t="inlineStr">
        <is>
          <t>Solicitar aclaración</t>
        </is>
      </c>
      <c r="K8" s="20" t="inlineStr">
        <is>
          <t>Pendiente</t>
        </is>
      </c>
      <c r="L8" s="20" t="inlineStr">
        <is>
          <t>Ingeniería</t>
        </is>
      </c>
    </row>
    <row r="9">
      <c r="A9" s="15" t="n">
        <v>4</v>
      </c>
      <c r="B9" s="15" t="inlineStr">
        <is>
          <t>Contratista B</t>
        </is>
      </c>
      <c r="C9" s="15" t="inlineStr">
        <is>
          <t>GEN-001</t>
        </is>
      </c>
      <c r="D9" s="15" t="inlineStr">
        <is>
          <t>Partida sin referencia directa</t>
        </is>
      </c>
      <c r="E9" s="15" t="inlineStr">
        <is>
          <t>Especial</t>
        </is>
      </c>
      <c r="F9" s="16" t="n">
        <v>15000000</v>
      </c>
      <c r="G9" s="17" t="n">
        <v>0</v>
      </c>
      <c r="H9" s="17" t="n">
        <v>0.2</v>
      </c>
      <c r="I9" s="15" t="inlineStr">
        <is>
          <t>Sin referencia</t>
        </is>
      </c>
      <c r="J9" s="15" t="inlineStr">
        <is>
          <t>Cotización externa</t>
        </is>
      </c>
      <c r="K9" s="15" t="inlineStr">
        <is>
          <t>Pendiente</t>
        </is>
      </c>
      <c r="L9" s="15" t="inlineStr">
        <is>
          <t>Costos</t>
        </is>
      </c>
    </row>
  </sheetData>
  <mergeCells count="2">
    <mergeCell ref="A2:L2"/>
    <mergeCell ref="A1:L1"/>
  </mergeCells>
  <conditionalFormatting sqref="F6:F9">
    <cfRule type="dataBar" priority="1">
      <dataBar showValue="1">
        <cfvo type="num" val="0"/>
        <cfvo type="max"/>
        <color rgb="005B9BD5"/>
      </dataBar>
    </cfRule>
  </conditionalFormatting>
  <conditionalFormatting sqref="G6:G9">
    <cfRule type="colorScale" priority="2">
      <colorScale>
        <cfvo type="min"/>
        <cfvo type="percentile" val="50"/>
        <cfvo type="max"/>
        <color rgb="00E2F0D9"/>
        <color rgb="00FFF2CC"/>
        <color rgb="00FCE4D6"/>
      </colorScale>
    </cfRule>
  </conditionalFormatting>
  <dataValidations count="1">
    <dataValidation sqref="K6:K50" showDropDown="0" showInputMessage="0" showErrorMessage="0" allowBlank="0" type="list">
      <formula1>"Pendiente,Revisado,Aceptado,Solicitar aclaración,Negociar"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0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22" customWidth="1" min="11" max="11"/>
    <col width="20" customWidth="1" min="12" max="12"/>
    <col width="28" customWidth="1" min="13" max="13"/>
  </cols>
  <sheetData>
    <row r="1" ht="24" customHeight="1">
      <c r="A1" s="1" t="inlineStr">
        <is>
          <t>Insumos Críticos</t>
        </is>
      </c>
    </row>
    <row r="2" ht="34" customHeight="1">
      <c r="A2" s="2" t="inlineStr">
        <is>
          <t>Insumos, mano de obra, maquinaria y porcentajes que explican variaciones relevantes.</t>
        </is>
      </c>
    </row>
    <row r="5" ht="36" customHeight="1">
      <c r="A5" s="14" t="inlineStr">
        <is>
          <t>Contratista</t>
        </is>
      </c>
      <c r="B5" s="14" t="inlineStr">
        <is>
          <t>Partida</t>
        </is>
      </c>
      <c r="C5" s="14" t="inlineStr">
        <is>
          <t>Tipo insumo</t>
        </is>
      </c>
      <c r="D5" s="14" t="inlineStr">
        <is>
          <t>Insumo</t>
        </is>
      </c>
      <c r="E5" s="14" t="inlineStr">
        <is>
          <t>Unidad</t>
        </is>
      </c>
      <c r="F5" s="14" t="inlineStr">
        <is>
          <t>Cantidad</t>
        </is>
      </c>
      <c r="G5" s="14" t="inlineStr">
        <is>
          <t>P.U. contratista</t>
        </is>
      </c>
      <c r="H5" s="14" t="inlineStr">
        <is>
          <t>P.U. referencia</t>
        </is>
      </c>
      <c r="I5" s="14" t="inlineStr">
        <is>
          <t>Desv. %</t>
        </is>
      </c>
      <c r="J5" s="14" t="inlineStr">
        <is>
          <t>Impacto</t>
        </is>
      </c>
      <c r="K5" s="14" t="inlineStr">
        <is>
          <t>Fuente data</t>
        </is>
      </c>
      <c r="L5" s="14" t="inlineStr">
        <is>
          <t>Alerta</t>
        </is>
      </c>
      <c r="M5" s="14" t="inlineStr">
        <is>
          <t>Observación</t>
        </is>
      </c>
    </row>
    <row r="6">
      <c r="A6" s="20" t="inlineStr">
        <is>
          <t>Contratista A</t>
        </is>
      </c>
      <c r="B6" s="20" t="inlineStr">
        <is>
          <t>FLEX41.11</t>
        </is>
      </c>
      <c r="C6" s="20" t="inlineStr">
        <is>
          <t>MO</t>
        </is>
      </c>
      <c r="D6" s="20" t="inlineStr">
        <is>
          <t>Supervisor Obra</t>
        </is>
      </c>
      <c r="E6" s="20" t="inlineStr">
        <is>
          <t>JOR</t>
        </is>
      </c>
      <c r="F6" s="20" t="n">
        <v>0.1</v>
      </c>
      <c r="G6" s="21" t="n">
        <v>2643.19</v>
      </c>
      <c r="H6" s="21" t="n">
        <v>1757.33</v>
      </c>
      <c r="I6" s="22">
        <f>(G6-H6)/H6</f>
        <v/>
      </c>
      <c r="J6" s="21">
        <f>MAX((G6-H6)*F6,0)</f>
        <v/>
      </c>
      <c r="K6" s="20" t="inlineStr">
        <is>
          <t>data/mano_obra</t>
        </is>
      </c>
      <c r="L6" s="20" t="inlineStr">
        <is>
          <t>Revisar</t>
        </is>
      </c>
      <c r="M6" s="20" t="inlineStr">
        <is>
          <t>Tarifa superior a referencia</t>
        </is>
      </c>
    </row>
    <row r="7">
      <c r="A7" s="15" t="inlineStr">
        <is>
          <t>Contratista A</t>
        </is>
      </c>
      <c r="B7" s="15" t="inlineStr">
        <is>
          <t>FLEX41.11</t>
        </is>
      </c>
      <c r="C7" s="15" t="inlineStr">
        <is>
          <t>MO</t>
        </is>
      </c>
      <c r="D7" s="15" t="inlineStr">
        <is>
          <t>Oficial soldador/argonero</t>
        </is>
      </c>
      <c r="E7" s="15" t="inlineStr">
        <is>
          <t>JOR</t>
        </is>
      </c>
      <c r="F7" s="15" t="n">
        <v>1</v>
      </c>
      <c r="G7" s="16" t="n">
        <v>2120.45</v>
      </c>
      <c r="H7" s="16" t="n">
        <v>1326.14</v>
      </c>
      <c r="I7" s="17">
        <f>(G7-H7)/H7</f>
        <v/>
      </c>
      <c r="J7" s="16">
        <f>MAX((G7-H7)*F7,0)</f>
        <v/>
      </c>
      <c r="K7" s="15" t="inlineStr">
        <is>
          <t>data/mano_obra</t>
        </is>
      </c>
      <c r="L7" s="15" t="inlineStr">
        <is>
          <t>Revisar</t>
        </is>
      </c>
      <c r="M7" s="15" t="inlineStr">
        <is>
          <t>Validar rendimiento</t>
        </is>
      </c>
    </row>
    <row r="8">
      <c r="A8" s="20" t="inlineStr">
        <is>
          <t>Contratista C</t>
        </is>
      </c>
      <c r="B8" s="20" t="inlineStr">
        <is>
          <t>CIV-001</t>
        </is>
      </c>
      <c r="C8" s="20" t="inlineStr">
        <is>
          <t>Material</t>
        </is>
      </c>
      <c r="D8" s="20" t="inlineStr">
        <is>
          <t>Concreto premezclado</t>
        </is>
      </c>
      <c r="E8" s="20" t="inlineStr">
        <is>
          <t>m3</t>
        </is>
      </c>
      <c r="F8" s="20" t="n">
        <v>40</v>
      </c>
      <c r="G8" s="21" t="n">
        <v>2850000</v>
      </c>
      <c r="H8" s="21" t="n">
        <v>2300000</v>
      </c>
      <c r="I8" s="22">
        <f>(G8-H8)/H8</f>
        <v/>
      </c>
      <c r="J8" s="21">
        <f>MAX((G8-H8)*F8,0)</f>
        <v/>
      </c>
      <c r="K8" s="20" t="inlineStr">
        <is>
          <t>data/materiales</t>
        </is>
      </c>
      <c r="L8" s="20" t="inlineStr">
        <is>
          <t>Alto impacto</t>
        </is>
      </c>
      <c r="M8" s="20" t="inlineStr">
        <is>
          <t>Negociar precio base</t>
        </is>
      </c>
    </row>
    <row r="9">
      <c r="A9" s="15" t="inlineStr">
        <is>
          <t>Contratista C</t>
        </is>
      </c>
      <c r="B9" s="15" t="inlineStr">
        <is>
          <t>ELE-001</t>
        </is>
      </c>
      <c r="C9" s="15" t="inlineStr">
        <is>
          <t>Material</t>
        </is>
      </c>
      <c r="D9" s="15" t="inlineStr">
        <is>
          <t>Luminaria LED</t>
        </is>
      </c>
      <c r="E9" s="15" t="inlineStr">
        <is>
          <t>pza</t>
        </is>
      </c>
      <c r="F9" s="15" t="n">
        <v>35</v>
      </c>
      <c r="G9" s="16" t="n">
        <v>1200000</v>
      </c>
      <c r="H9" s="16" t="n">
        <v>980000</v>
      </c>
      <c r="I9" s="17">
        <f>(G9-H9)/H9</f>
        <v/>
      </c>
      <c r="J9" s="16">
        <f>MAX((G9-H9)*F9,0)</f>
        <v/>
      </c>
      <c r="K9" s="15" t="inlineStr">
        <is>
          <t>data/materiales</t>
        </is>
      </c>
      <c r="L9" s="15" t="inlineStr">
        <is>
          <t>Ficha técnica</t>
        </is>
      </c>
      <c r="M9" s="15" t="inlineStr">
        <is>
          <t>Confirmar especificación</t>
        </is>
      </c>
    </row>
  </sheetData>
  <mergeCells count="2">
    <mergeCell ref="A2:M2"/>
    <mergeCell ref="A1:M1"/>
  </mergeCells>
  <conditionalFormatting sqref="I6:I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J6:J9">
    <cfRule type="dataBar" priority="2">
      <dataBar showValue="1">
        <cfvo type="num" val="0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J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8" customWidth="1" min="5" max="5"/>
    <col width="24" customWidth="1" min="6" max="6"/>
    <col width="36" customWidth="1" min="7" max="7"/>
    <col width="26" customWidth="1" min="8" max="8"/>
    <col width="28" customWidth="1" min="9" max="9"/>
    <col width="18" customWidth="1" min="10" max="10"/>
  </cols>
  <sheetData>
    <row r="1" ht="24" customHeight="1">
      <c r="A1" s="1" t="inlineStr">
        <is>
          <t>Validaciones</t>
        </is>
      </c>
    </row>
    <row r="2" ht="34" customHeight="1">
      <c r="A2" s="2" t="inlineStr">
        <is>
          <t>Bitácora de advertencias, inconsistencias y puntos que requieren revisión técnica.</t>
        </is>
      </c>
    </row>
    <row r="5" ht="36" customHeight="1">
      <c r="A5" s="14" t="inlineStr">
        <is>
          <t>Severidad</t>
        </is>
      </c>
      <c r="B5" s="14" t="inlineStr">
        <is>
          <t>Tipo</t>
        </is>
      </c>
      <c r="C5" s="14" t="inlineStr">
        <is>
          <t>Contratista</t>
        </is>
      </c>
      <c r="D5" s="14" t="inlineStr">
        <is>
          <t>Partida</t>
        </is>
      </c>
      <c r="E5" s="14" t="inlineStr">
        <is>
          <t>Campo</t>
        </is>
      </c>
      <c r="F5" s="14" t="inlineStr">
        <is>
          <t>Valor detectado</t>
        </is>
      </c>
      <c r="G5" s="14" t="inlineStr">
        <is>
          <t>Problema</t>
        </is>
      </c>
      <c r="H5" s="14" t="inlineStr">
        <is>
          <t>Impacto potencial</t>
        </is>
      </c>
      <c r="I5" s="14" t="inlineStr">
        <is>
          <t>Acción sugerida</t>
        </is>
      </c>
      <c r="J5" s="14" t="inlineStr">
        <is>
          <t>Estado</t>
        </is>
      </c>
    </row>
    <row r="6">
      <c r="A6" s="20" t="inlineStr">
        <is>
          <t>Alta</t>
        </is>
      </c>
      <c r="B6" s="20" t="inlineStr">
        <is>
          <t>Total no cuadra</t>
        </is>
      </c>
      <c r="C6" s="20" t="inlineStr">
        <is>
          <t>Contratista A</t>
        </is>
      </c>
      <c r="D6" s="20" t="inlineStr">
        <is>
          <t>FLEX41.11</t>
        </is>
      </c>
      <c r="E6" s="20" t="inlineStr">
        <is>
          <t>P.U.</t>
        </is>
      </c>
      <c r="F6" s="20" t="inlineStr">
        <is>
          <t>31524.55</t>
        </is>
      </c>
      <c r="G6" s="20" t="inlineStr">
        <is>
          <t>El total calculado debe reconciliar con Comparativa</t>
        </is>
      </c>
      <c r="H6" s="20" t="inlineStr">
        <is>
          <t>Puede afectar ranking</t>
        </is>
      </c>
      <c r="I6" s="20" t="inlineStr">
        <is>
          <t>Revisar matriz APU</t>
        </is>
      </c>
      <c r="J6" s="20" t="inlineStr">
        <is>
          <t>Pendiente</t>
        </is>
      </c>
    </row>
    <row r="7">
      <c r="A7" s="18" t="inlineStr">
        <is>
          <t>Media</t>
        </is>
      </c>
      <c r="B7" s="15" t="inlineStr">
        <is>
          <t>Unidad dudosa</t>
        </is>
      </c>
      <c r="C7" s="15" t="inlineStr">
        <is>
          <t>Contratista C</t>
        </is>
      </c>
      <c r="D7" s="15" t="inlineStr">
        <is>
          <t>ELE-001</t>
        </is>
      </c>
      <c r="E7" s="15" t="inlineStr">
        <is>
          <t>Unidad</t>
        </is>
      </c>
      <c r="F7" s="15" t="inlineStr">
        <is>
          <t>pza</t>
        </is>
      </c>
      <c r="G7" s="15" t="inlineStr">
        <is>
          <t>La especificación técnica de luminaria no es suficiente</t>
        </is>
      </c>
      <c r="H7" s="15" t="inlineStr">
        <is>
          <t>Precio no comparable</t>
        </is>
      </c>
      <c r="I7" s="15" t="inlineStr">
        <is>
          <t>Solicitar ficha técnica</t>
        </is>
      </c>
      <c r="J7" s="15" t="inlineStr">
        <is>
          <t>Pendiente</t>
        </is>
      </c>
    </row>
    <row r="8">
      <c r="A8" s="20" t="inlineStr">
        <is>
          <t>Media</t>
        </is>
      </c>
      <c r="B8" s="20" t="inlineStr">
        <is>
          <t>Insumo no encontrado</t>
        </is>
      </c>
      <c r="C8" s="20" t="inlineStr">
        <is>
          <t>Contratista B</t>
        </is>
      </c>
      <c r="D8" s="20" t="inlineStr">
        <is>
          <t>GEN-001</t>
        </is>
      </c>
      <c r="E8" s="20" t="inlineStr">
        <is>
          <t>Referencia</t>
        </is>
      </c>
      <c r="F8" s="20" t="inlineStr">
        <is>
          <t>N/A</t>
        </is>
      </c>
      <c r="G8" s="20" t="inlineStr">
        <is>
          <t>No existe referencia granular en data</t>
        </is>
      </c>
      <c r="H8" s="20" t="inlineStr">
        <is>
          <t>Requiere cotización externa</t>
        </is>
      </c>
      <c r="I8" s="20" t="inlineStr">
        <is>
          <t>Solicitar soporte</t>
        </is>
      </c>
      <c r="J8" s="20" t="inlineStr">
        <is>
          <t>Pendiente</t>
        </is>
      </c>
    </row>
    <row r="9">
      <c r="A9" s="18" t="inlineStr">
        <is>
          <t>Baja</t>
        </is>
      </c>
      <c r="B9" s="15" t="inlineStr">
        <is>
          <t>Match medio</t>
        </is>
      </c>
      <c r="C9" s="15" t="inlineStr">
        <is>
          <t>Contratista A</t>
        </is>
      </c>
      <c r="D9" s="15" t="inlineStr">
        <is>
          <t>CIV-002</t>
        </is>
      </c>
      <c r="E9" s="15" t="inlineStr">
        <is>
          <t>Insumo</t>
        </is>
      </c>
      <c r="F9" s="15" t="inlineStr">
        <is>
          <t>Acero</t>
        </is>
      </c>
      <c r="G9" s="15" t="inlineStr">
        <is>
          <t>Match por descripción, no por código</t>
        </is>
      </c>
      <c r="H9" s="15" t="inlineStr">
        <is>
          <t>Revisión documental</t>
        </is>
      </c>
      <c r="I9" s="15" t="inlineStr">
        <is>
          <t>Validar código</t>
        </is>
      </c>
      <c r="J9" s="15" t="inlineStr">
        <is>
          <t>Pendiente</t>
        </is>
      </c>
    </row>
  </sheetData>
  <mergeCells count="2">
    <mergeCell ref="A1:J1"/>
    <mergeCell ref="A2:J2"/>
  </mergeCells>
  <dataValidations count="1">
    <dataValidation sqref="J6:J100" showDropDown="0" showInputMessage="0" showErrorMessage="0" allowBlank="0" type="list">
      <formula1>"Pendiente,Revisado,Resuelto,No 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Análisis IA</t>
        </is>
      </c>
    </row>
    <row r="2" ht="34" customHeight="1">
      <c r="A2" s="2" t="inlineStr">
        <is>
          <t>Narrativa ejecutiva generada sobre datos calculados. La IA no inventa importes ni modifica cálculos.</t>
        </is>
      </c>
    </row>
    <row r="5" ht="36" customHeight="1">
      <c r="A5" s="14" t="inlineStr">
        <is>
          <t>Sección</t>
        </is>
      </c>
      <c r="B5" s="14" t="inlineStr">
        <is>
          <t>Contenido</t>
        </is>
      </c>
    </row>
    <row r="6" ht="45" customHeight="1">
      <c r="A6" s="20" t="inlineStr">
        <is>
          <t>Resumen ejecutivo</t>
        </is>
      </c>
      <c r="B6" s="20" t="inlineStr">
        <is>
          <t>La comparación identifica una propuesta competitiva, pero con partidas críticas que requieren validación técnica antes de negociar o adjudicar.</t>
        </is>
      </c>
    </row>
    <row r="7" ht="45" customHeight="1">
      <c r="A7" s="15" t="inlineStr">
        <is>
          <t>Riesgos</t>
        </is>
      </c>
      <c r="B7" s="15" t="inlineStr">
        <is>
          <t>El riesgo principal se concentra en partidas con alto impacto económico y en diferencias de insumos de mano de obra y materiales.</t>
        </is>
      </c>
    </row>
    <row r="8" ht="45" customHeight="1">
      <c r="A8" s="20" t="inlineStr">
        <is>
          <t>Recomendaciones</t>
        </is>
      </c>
      <c r="B8" s="20" t="inlineStr">
        <is>
          <t>Solicitar desglose APU, validar rendimiento, comparar porcentajes financieros y negociar partidas con mayor impacto económico.</t>
        </is>
      </c>
    </row>
    <row r="9" ht="45" customHeight="1">
      <c r="A9" s="15" t="inlineStr">
        <is>
          <t>Preguntas al contratista</t>
        </is>
      </c>
      <c r="B9" s="15" t="inlineStr">
        <is>
          <t>¿Qué alcance está incluido en las partidas bajo mercado? ¿Qué tarifas y rendimientos soportan mano de obra? ¿Qué fichas técnicas respaldan los insumos críticos?</t>
        </is>
      </c>
    </row>
    <row r="10" ht="45" customHeight="1">
      <c r="A10" s="20" t="inlineStr">
        <is>
          <t>Limitaciones</t>
        </is>
      </c>
      <c r="B10" s="20" t="inlineStr">
        <is>
          <t>V0 usa datos mockeados. El motor real debe leer la matriz/APU del contratista y poblar Detalle APU desde esa fuente.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2026-06-17T23:48:29Z</dcterms:created>
  <dcterms:modified xmlns:dcterms="http://purl.org/dc/terms/" xmlns:xsi="http://www.w3.org/2001/XMLSchema-instance" xsi:type="dcterms:W3CDTF">2026-06-17T23:48:29Z</dcterms:modified>
</cp:coreProperties>
</file>